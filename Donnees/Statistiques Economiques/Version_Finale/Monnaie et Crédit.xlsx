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E4025A9E-0FB8-44C2-8212-E5743897F04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onnaie " sheetId="5" r:id="rId1"/>
    <sheet name="répart crédits1 " sheetId="6" r:id="rId2"/>
    <sheet name="répart crédits2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_EXR1">#REF!</definedName>
    <definedName name="______________EXR2">#REF!</definedName>
    <definedName name="______________EXR3">#REF!</definedName>
    <definedName name="______________oth2">#REF!</definedName>
    <definedName name="______________oth3">#REF!</definedName>
    <definedName name="______________oth4">#REF!</definedName>
    <definedName name="______________oth5">#REF!</definedName>
    <definedName name="______________oth7">#REF!</definedName>
    <definedName name="______________oth8">#REF!</definedName>
    <definedName name="______________rge1">#REF!</definedName>
    <definedName name="______________sni1">#REF!</definedName>
    <definedName name="______________sni4">#REF!</definedName>
    <definedName name="______________sni5">#REF!</definedName>
    <definedName name="______________SPA1">'[3]SR Tb1'!#REF!</definedName>
    <definedName name="______________TAB39">#REF!</definedName>
    <definedName name="______________TAB4">#REF!</definedName>
    <definedName name="______________TAB40">#REF!</definedName>
    <definedName name="_____________EXR1">#REF!</definedName>
    <definedName name="_____________EXR2">#REF!</definedName>
    <definedName name="_____________EXR3">#REF!</definedName>
    <definedName name="_____________MM1">'[4]Matières premières'!#REF!</definedName>
    <definedName name="_____________MM2">'[4]Matières premières'!#REF!</definedName>
    <definedName name="_____________MM3">'[4]Matières premières'!#REF!</definedName>
    <definedName name="_____________oth1">#REF!</definedName>
    <definedName name="_____________oth2">#REF!</definedName>
    <definedName name="_____________oth3">#REF!</definedName>
    <definedName name="_____________oth4">#REF!</definedName>
    <definedName name="_____________oth5">#REF!</definedName>
    <definedName name="_____________oth6">#REF!</definedName>
    <definedName name="_____________oth7">#REF!</definedName>
    <definedName name="_____________oth8">#REF!</definedName>
    <definedName name="_____________rge1">#REF!</definedName>
    <definedName name="_____________sni1">#REF!</definedName>
    <definedName name="_____________sni2">#REF!</definedName>
    <definedName name="_____________sni3">#REF!</definedName>
    <definedName name="_____________sni4">#REF!</definedName>
    <definedName name="_____________sni5">#REF!</definedName>
    <definedName name="_____________SPA1">'[5]SR Tb1'!#REF!</definedName>
    <definedName name="_____________TAB39">#REF!</definedName>
    <definedName name="_____________TAB4">#REF!</definedName>
    <definedName name="_____________TAB40">#REF!</definedName>
    <definedName name="____________EXR1">#REF!</definedName>
    <definedName name="____________EXR2">#REF!</definedName>
    <definedName name="____________EXR3">#REF!</definedName>
    <definedName name="____________MM1">'[4]Matières premières'!#REF!</definedName>
    <definedName name="____________MM2">'[4]Matières premières'!#REF!</definedName>
    <definedName name="____________MM3">'[4]Matières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'[5]SR Tb1'!#REF!</definedName>
    <definedName name="____________TAB39">#REF!</definedName>
    <definedName name="____________TAB4">#REF!</definedName>
    <definedName name="____________TAB40">#REF!</definedName>
    <definedName name="___________EXR1">#REF!</definedName>
    <definedName name="___________EXR2">#REF!</definedName>
    <definedName name="___________EXR3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rge1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SPA1">'[3]SR Tb1'!#REF!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'[4]Matières premières'!#REF!</definedName>
    <definedName name="__________MM2">'[4]Matières premières'!#REF!</definedName>
    <definedName name="__________MM3">'[4]Matières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'[5]SR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'[4]Matières premières'!#REF!</definedName>
    <definedName name="_________MM2">'[4]Matières premières'!#REF!</definedName>
    <definedName name="_________MM3">'[4]Matières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'[5]SR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'[4]Matières premières'!#REF!</definedName>
    <definedName name="________MM2">'[4]Matières premières'!#REF!</definedName>
    <definedName name="________MM3">'[4]Matières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'[5]SR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'[6]Matières premières'!#REF!</definedName>
    <definedName name="_______MM2">'[6]Matières premières'!#REF!</definedName>
    <definedName name="_______MM3">'[6]Matières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'[7]PV calcu'!#REF!</definedName>
    <definedName name="__123Graph_B" hidden="1">[8]T26!#REF!</definedName>
    <definedName name="__123Graph_C" hidden="1">[8]T26!#REF!</definedName>
    <definedName name="__123Graph_D" hidden="1">[8]T26!#REF!</definedName>
    <definedName name="__123Graph_E" hidden="1">[8]T26!#REF!</definedName>
    <definedName name="__123Graph_F" hidden="1">[8]T26!#REF!</definedName>
    <definedName name="__123Graph_X" hidden="1">[8]T26!#REF!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'[4]Matières premières'!#REF!</definedName>
    <definedName name="_MM2">'[4]Matières premières'!#REF!</definedName>
    <definedName name="_MM3">'[4]Matières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'[5]SR Tb1'!#REF!</definedName>
    <definedName name="_TAB39">#REF!</definedName>
    <definedName name="_TAB4">#REF!</definedName>
    <definedName name="_TAB40">#REF!</definedName>
    <definedName name="a">'[8]Basic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[9]CIRRs!$C$59</definedName>
    <definedName name="ADF">[9]CIRRs!$C$60</definedName>
    <definedName name="ADT">'[6]Matières premières'!#REF!</definedName>
    <definedName name="ALL">#REF!</definedName>
    <definedName name="AMOR_D">'[6]Matières premières'!#REF!</definedName>
    <definedName name="AMOR_DT">'[6]Matières premières'!#REF!</definedName>
    <definedName name="amort">[10]info!$A$5:$AP$18</definedName>
    <definedName name="Amorti">[11]info!#REF!</definedName>
    <definedName name="AMTABLE">#REF!</definedName>
    <definedName name="annual">#REF!</definedName>
    <definedName name="APA">'[6]Matières premières'!#REF!</definedName>
    <definedName name="APA_BC">'[6]Matières premières'!#REF!</definedName>
    <definedName name="APA_BP">'[6]Matières premières'!#REF!</definedName>
    <definedName name="APN">'[6]Matières premières'!#REF!</definedName>
    <definedName name="APP">'[6]Matières premières'!#REF!</definedName>
    <definedName name="APP_BC">'[6]Matières premières'!#REF!</definedName>
    <definedName name="APP_BP">'[6]Matières premières'!#REF!</definedName>
    <definedName name="aq">#REF!</definedName>
    <definedName name="Assistance">#REF!</definedName>
    <definedName name="ASSUMPB">[12]E!#REF!</definedName>
    <definedName name="ATBS">'[6]Matières premières'!#REF!</definedName>
    <definedName name="ATREV">'[6]Matières premières'!#REF!</definedName>
    <definedName name="ATS">[9]CIRRs!$C$77</definedName>
    <definedName name="AUTDEP">'[6]Matières premières'!#REF!</definedName>
    <definedName name="AUTDEPCOUR">'[6]Matières premières'!#REF!</definedName>
    <definedName name="AUTOF">'[6]Matières premières'!#REF!</definedName>
    <definedName name="AUTOFT">'[6]Matières premières'!#REF!</definedName>
    <definedName name="AUTRNF">'[6]Matières premières'!#REF!</definedName>
    <definedName name="AVEXT">'[6]Matières premières'!#REF!</definedName>
    <definedName name="AVEXT_BC">'[6]Matières premières'!#REF!</definedName>
    <definedName name="AVEXT_BCAUT">'[6]Matières premières'!#REF!</definedName>
    <definedName name="AVEXT_BCD">'[6]Matières premières'!#REF!</definedName>
    <definedName name="AVEXT_BCO">'[6]Matières premières'!#REF!</definedName>
    <definedName name="AVEXT_BP">'[6]Matières premières'!#REF!</definedName>
    <definedName name="AVEXTN">'[6]Matières premières'!#REF!</definedName>
    <definedName name="BADEA">[9]CIRRs!$C$67</definedName>
    <definedName name="BALCOM">'[6]Matières premières'!#REF!</definedName>
    <definedName name="banks">#REF!</definedName>
    <definedName name="_xlnm.Database">#REF!</definedName>
    <definedName name="BASEM">'[6]Matières premières'!#REF!</definedName>
    <definedName name="BaseYear">#REF!</definedName>
    <definedName name="BASIC_DATA">'[1]SR Tb1'!#REF!</definedName>
    <definedName name="BDEAC">[9]CIRRs!$C$70</definedName>
    <definedName name="BEF">[9]CIRRs!$C$79</definedName>
    <definedName name="Bei">[11]terms!#REF!</definedName>
    <definedName name="BIAOSECTORIZ">#REF!</definedName>
    <definedName name="BIBNIM">'[6]Matières premières'!#REF!</definedName>
    <definedName name="BIE">'[6]Matières premières'!#REF!</definedName>
    <definedName name="BIET">'[6]Matières premières'!#REF!</definedName>
    <definedName name="bnvbn">'[8]Matières premières'!#REF!</definedName>
    <definedName name="BO">#REF!</definedName>
    <definedName name="BONCAISSE">'[6]Matières premières'!#REF!</definedName>
    <definedName name="BOP">#REF!</definedName>
    <definedName name="BOP_to_Fisc">[13]Out_sys!$L$108:$AH$131</definedName>
    <definedName name="BOP_to_REAL">[13]Out_sys!$J$19:$AH$98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[14]Analysis!#REF!</definedName>
    <definedName name="BOPSECT2000">[14]Analysis!#REF!</definedName>
    <definedName name="BOPSR">#REF!</definedName>
    <definedName name="bpr">#REF!</definedName>
    <definedName name="BRTABLE7">[14]Analysis!#REF!</definedName>
    <definedName name="BT">'[6]Matières premières'!#REF!</definedName>
    <definedName name="BTSon">'[6]Matières premières'!#REF!</definedName>
    <definedName name="BUDGET">#REF!</definedName>
    <definedName name="bullshit">[15]GQRDT8!$B$230:$H$280</definedName>
    <definedName name="CAD">[9]CIRRs!$C$80</definedName>
    <definedName name="CAFS">'[6]Matières premières'!#REF!</definedName>
    <definedName name="CAFST">'[6]Matières premières'!#REF!</definedName>
    <definedName name="Capital">#REF!</definedName>
    <definedName name="CFA">[9]CIRRs!$C$81</definedName>
    <definedName name="CFAFS">#REF!</definedName>
    <definedName name="CFAFS_DOLLARS">#REF!</definedName>
    <definedName name="CHF">[9]CIRRs!$C$82</definedName>
    <definedName name="Chinguetti">#REF!</definedName>
    <definedName name="cirr">#REF!</definedName>
    <definedName name="COMCAP">'[6]Matières premières'!#REF!</definedName>
    <definedName name="COMCAP_BC">'[6]Matières premières'!#REF!</definedName>
    <definedName name="COMCAP_BP">'[6]Matières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'[16]Q Tb21a'!#REF!</definedName>
    <definedName name="CONCGZ">'[6]Matières premières'!#REF!</definedName>
    <definedName name="CONSCI">'[6]Matières premières'!#REF!</definedName>
    <definedName name="CONSNIM">'[6]Matières premières'!#REF!</definedName>
    <definedName name="Conson">'[6]Matières premières'!#REF!</definedName>
    <definedName name="CONSPP">'[6]Matières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'[6]Matières premières'!#REF!</definedName>
    <definedName name="CREC">'[6]Matières premières'!#REF!</definedName>
    <definedName name="CRECAG">'[6]Matières premières'!#REF!</definedName>
    <definedName name="CRECAS">'[6]Matières premières'!#REF!</definedName>
    <definedName name="CRECAU">'[6]Matières premières'!#REF!</definedName>
    <definedName name="CRECAUT">'[6]Matières premières'!#REF!</definedName>
    <definedName name="CRECBT">'[6]Matières premières'!#REF!</definedName>
    <definedName name="CRECCO">'[6]Matières premières'!#REF!</definedName>
    <definedName name="CRECCT">'[6]Matières premières'!#REF!</definedName>
    <definedName name="CRECCTAG">'[6]Matières premières'!#REF!</definedName>
    <definedName name="CRECCTAGT">'[6]Matières premières'!#REF!</definedName>
    <definedName name="CRECCTAS">'[6]Matières premières'!#REF!</definedName>
    <definedName name="CRECCTAST">'[6]Matières premières'!#REF!</definedName>
    <definedName name="CRECCTAU">'[6]Matières premières'!#REF!</definedName>
    <definedName name="CRECCTAUT">'[6]Matières premières'!#REF!</definedName>
    <definedName name="CRECCTBT">'[6]Matières premières'!#REF!</definedName>
    <definedName name="CRECCTBTT">'[6]Matières premières'!#REF!</definedName>
    <definedName name="CRECCTCO">'[6]Matières premières'!#REF!</definedName>
    <definedName name="CRECCTCOT">'[6]Matières premières'!#REF!</definedName>
    <definedName name="CRECCTEL">'[6]Matières premières'!#REF!</definedName>
    <definedName name="CRECCTELT">'[6]Matières premières'!#REF!</definedName>
    <definedName name="CRECCTEN">'[6]Matières premières'!#REF!</definedName>
    <definedName name="CRECCTENT">'[6]Matières premières'!#REF!</definedName>
    <definedName name="CRECCTGI">'[6]Matières premières'!#REF!</definedName>
    <definedName name="CRECCTGIT">'[6]Matières premières'!#REF!</definedName>
    <definedName name="CRECCTIM">'[6]Matières premières'!#REF!</definedName>
    <definedName name="CRECCTIMT">'[6]Matières premières'!#REF!</definedName>
    <definedName name="CRECCTMI">'[6]Matières premières'!#REF!</definedName>
    <definedName name="CRECCTMIT">'[6]Matières premières'!#REF!</definedName>
    <definedName name="CRECCTn">'[6]Matières premières'!#REF!</definedName>
    <definedName name="CRECCTPE">'[6]Matières premières'!#REF!</definedName>
    <definedName name="CRECCTPET">'[6]Matières premières'!#REF!</definedName>
    <definedName name="CRECCTSE">'[6]Matières premières'!#REF!</definedName>
    <definedName name="CRECCTSET">'[6]Matières premières'!#REF!</definedName>
    <definedName name="CRECCTSP">'[6]Matières premières'!#REF!</definedName>
    <definedName name="CRECCTSPT">'[6]Matières premières'!#REF!</definedName>
    <definedName name="CRECCTSS">'[6]Matières premières'!#REF!</definedName>
    <definedName name="CRECCTSST">'[6]Matières premières'!#REF!</definedName>
    <definedName name="CRECCTT">'[6]Matières premières'!#REF!</definedName>
    <definedName name="CRECCTTI">'[6]Matières premières'!#REF!</definedName>
    <definedName name="CRECCTTIT">'[6]Matières premières'!#REF!</definedName>
    <definedName name="CRECCTTR">'[6]Matières premières'!#REF!</definedName>
    <definedName name="CRECCTTRT">'[6]Matières premières'!#REF!</definedName>
    <definedName name="CRECEL">'[6]Matières premières'!#REF!</definedName>
    <definedName name="CRECEN">'[6]Matières premières'!#REF!</definedName>
    <definedName name="CRECGI">'[6]Matières premières'!#REF!</definedName>
    <definedName name="CRECIM">'[6]Matières premières'!#REF!</definedName>
    <definedName name="CRECMI">'[6]Matières premières'!#REF!</definedName>
    <definedName name="CRECMT">'[6]Matières premières'!#REF!</definedName>
    <definedName name="CRECMTAG">'[6]Matières premières'!#REF!</definedName>
    <definedName name="CRECMTAGT">'[6]Matières premières'!#REF!</definedName>
    <definedName name="CRECMTAS">'[6]Matières premières'!#REF!</definedName>
    <definedName name="CRECMTAST">'[6]Matières premières'!#REF!</definedName>
    <definedName name="CRECMTAU">'[6]Matières premières'!#REF!</definedName>
    <definedName name="CRECMTAUT">'[6]Matières premières'!#REF!</definedName>
    <definedName name="CRECMTBT">'[6]Matières premières'!#REF!</definedName>
    <definedName name="CRECMTBTT">'[6]Matières premières'!#REF!</definedName>
    <definedName name="CRECMTCO">'[6]Matières premières'!#REF!</definedName>
    <definedName name="CRECMTCOT">'[6]Matières premières'!#REF!</definedName>
    <definedName name="CRECMTEL">'[6]Matières premières'!#REF!</definedName>
    <definedName name="CRECMTELT">'[6]Matières premières'!#REF!</definedName>
    <definedName name="CRECMTEN">'[6]Matières premières'!#REF!</definedName>
    <definedName name="CRECMTENT">'[6]Matières premières'!#REF!</definedName>
    <definedName name="CRECMTGI">'[6]Matières premières'!#REF!</definedName>
    <definedName name="CRECMTGIT">'[6]Matières premières'!#REF!</definedName>
    <definedName name="CRECMTIM">'[6]Matières premières'!#REF!</definedName>
    <definedName name="CRECMTIMT">'[6]Matières premières'!#REF!</definedName>
    <definedName name="CRECMTMI">'[6]Matières premières'!#REF!</definedName>
    <definedName name="CRECMTMIT">'[6]Matières premières'!#REF!</definedName>
    <definedName name="CRECMTPE">'[6]Matières premières'!#REF!</definedName>
    <definedName name="CRECMTPET">'[6]Matières premières'!#REF!</definedName>
    <definedName name="CRECMTSE">'[6]Matières premières'!#REF!</definedName>
    <definedName name="CRECMTSET">'[6]Matières premières'!#REF!</definedName>
    <definedName name="CRECMTSP">'[6]Matières premières'!#REF!</definedName>
    <definedName name="CRECMTSPT">'[6]Matières premières'!#REF!</definedName>
    <definedName name="CRECMTSS">'[6]Matières premières'!#REF!</definedName>
    <definedName name="CRECMTSST">'[6]Matières premières'!#REF!</definedName>
    <definedName name="CRECMTT">'[6]Matières premières'!#REF!</definedName>
    <definedName name="CRECMTTI">'[6]Matières premières'!#REF!</definedName>
    <definedName name="CRECMTTIT">'[6]Matières premières'!#REF!</definedName>
    <definedName name="CRECMTTR">'[6]Matières premières'!#REF!</definedName>
    <definedName name="CRECMTTRT">'[6]Matières premières'!#REF!</definedName>
    <definedName name="CRECPE">'[6]Matières premières'!#REF!</definedName>
    <definedName name="CRECsc">'[6]Matières premières'!#REF!</definedName>
    <definedName name="CRECscmd">'[6]Matières premières'!#REF!</definedName>
    <definedName name="CRECSE">'[6]Matières premières'!#REF!</definedName>
    <definedName name="CRECSP">'[6]Matières premières'!#REF!</definedName>
    <definedName name="CRECSS">'[6]Matières premières'!#REF!</definedName>
    <definedName name="CRECTI">'[6]Matières premières'!#REF!</definedName>
    <definedName name="CRECTR">'[6]Matières premières'!#REF!</definedName>
    <definedName name="CREI">'[6]Matières premières'!#REF!</definedName>
    <definedName name="CREINR">'[6]Matières premières'!#REF!</definedName>
    <definedName name="CREIsc">'[6]Matières premières'!#REF!</definedName>
    <definedName name="CRg">'[6]Matières premières'!#REF!</definedName>
    <definedName name="CRgBCM">'[6]Matières premières'!#REF!</definedName>
    <definedName name="CRgBCMA">'[6]Matières premières'!#REF!</definedName>
    <definedName name="CRgBCMAT">'[6]Matières premières'!#REF!</definedName>
    <definedName name="CRgBCMP">'[6]Matières premières'!#REF!</definedName>
    <definedName name="CRgBCMPT">'[6]Matières premières'!#REF!</definedName>
    <definedName name="CRgBCMT">'[6]Matières premières'!#REF!</definedName>
    <definedName name="CRgBP">'[6]Matières premières'!#REF!</definedName>
    <definedName name="CRgBPA">'[6]Matières premières'!#REF!</definedName>
    <definedName name="CRgBPAT">'[6]Matières premières'!#REF!</definedName>
    <definedName name="CRgBPP">'[6]Matières premières'!#REF!</definedName>
    <definedName name="CRgBPPT">'[6]Matières premières'!#REF!</definedName>
    <definedName name="CRgBPT">'[6]Matières premières'!#REF!</definedName>
    <definedName name="Crgsc">'[6]Matières premières'!#REF!</definedName>
    <definedName name="CRgT">'[6]Matières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'[6]Matières premières'!#REF!</definedName>
    <definedName name="CUMUL">'[6]Matières premières'!#REF!</definedName>
    <definedName name="CurrVintage">'[17]A Current Data'!$D$60</definedName>
    <definedName name="Dana">#REF!</definedName>
    <definedName name="DAT">'[6]Matières premières'!#REF!</definedName>
    <definedName name="DATDIV">'[6]Matières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'[13]Complete Data Set (Quarterly)'!$E$4:$AV$4</definedName>
    <definedName name="DATES_THEN">'[13]Source Data (Previous)'!$E$8:$X$8</definedName>
    <definedName name="DATg">'[6]Matières premières'!#REF!</definedName>
    <definedName name="DATp">'[6]Matières premières'!#REF!</definedName>
    <definedName name="DAV">'[6]Matières premières'!#REF!</definedName>
    <definedName name="DAVDIV">'[6]Matières premières'!#REF!</definedName>
    <definedName name="DAVg">'[6]Matières premières'!#REF!</definedName>
    <definedName name="DAVp">'[6]Matières premières'!#REF!</definedName>
    <definedName name="dd" localSheetId="1" hidden="1">{"Main Economic Indicators",#N/A,FALSE,"C"}</definedName>
    <definedName name="dd" localSheetId="2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'[18]RED Tb33'!#REF!</definedName>
    <definedName name="DEFBC">'[6]Matières premières'!#REF!</definedName>
    <definedName name="DEM">[9]CIRRs!$C$84</definedName>
    <definedName name="DEP_BUD">'[6]Matières premières'!#REF!</definedName>
    <definedName name="DEP_BUDT">'[6]Matières premières'!#REF!</definedName>
    <definedName name="Department">#REF!</definedName>
    <definedName name="DEPBC">'[6]Matières premières'!#REF!</definedName>
    <definedName name="DEPBUD">'[6]Matières premières'!#REF!</definedName>
    <definedName name="DEPCAP">'[6]Matières premières'!#REF!</definedName>
    <definedName name="DEPCAPEX">'[6]Matières premières'!#REF!</definedName>
    <definedName name="DEPCOUR">'[6]Matières premières'!#REF!</definedName>
    <definedName name="DEPCP">'[6]Matières premières'!#REF!</definedName>
    <definedName name="DEPED">'[6]Matières premières'!#REF!</definedName>
    <definedName name="DEPER">'[6]Matières premières'!#REF!</definedName>
    <definedName name="DEPGEN">'[6]Matières premières'!#REF!</definedName>
    <definedName name="DEPINV">'[6]Matières premières'!#REF!</definedName>
    <definedName name="DEPINVBC">'[6]Matières premières'!#REF!</definedName>
    <definedName name="DEPINVBCPN">'[6]Matières premières'!#REF!</definedName>
    <definedName name="DEPINVNB">'[6]Matières premières'!#REF!</definedName>
    <definedName name="DEPINVT">'[6]Matières premières'!#REF!</definedName>
    <definedName name="DEPMAT">'[6]Matières premières'!#REF!</definedName>
    <definedName name="DEPMIL">'[6]Matières premières'!#REF!</definedName>
    <definedName name="DepMonBanks">#REF!</definedName>
    <definedName name="DEPNF">'[6]Matières premières'!#REF!</definedName>
    <definedName name="DEPSS">'[6]Matières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'[6]Matières premières'!#REF!</definedName>
    <definedName name="DOLLARS">#REF!</definedName>
    <definedName name="DOMREVENUE">#REF!</definedName>
    <definedName name="DON">'[6]Matières premières'!#REF!</definedName>
    <definedName name="DONBUDG">'[6]Matières premières'!#REF!</definedName>
    <definedName name="DONCOU">'[6]Matières premières'!#REF!</definedName>
    <definedName name="DONPR">'[6]Matières premières'!#REF!</definedName>
    <definedName name="DONTOT">'[6]Matières premières'!#REF!</definedName>
    <definedName name="dr">#REF!</definedName>
    <definedName name="dsaf">'[19]Table 1'!#REF!</definedName>
    <definedName name="dsaout">#REF!</definedName>
    <definedName name="DTCI">'[6]Matières premières'!#REF!</definedName>
    <definedName name="e">#REF!</definedName>
    <definedName name="Ecowas">[11]terms!#REF!</definedName>
    <definedName name="ef" localSheetId="1" hidden="1">{"Main Economic Indicators",#N/A,FALSE,"C"}</definedName>
    <definedName name="ef" localSheetId="2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[9]CIRRs!$C$61</definedName>
    <definedName name="EMISM">'[6]Matières premières'!#REF!</definedName>
    <definedName name="ENBQ">'[6]Matières premières'!#REF!</definedName>
    <definedName name="ENGEXT">'[6]Matières premières'!#REF!</definedName>
    <definedName name="ENGEXT_BC">'[6]Matières premières'!#REF!</definedName>
    <definedName name="ENGEXT_BP">'[6]Matières premières'!#REF!</definedName>
    <definedName name="ENGLISH">[2]Content!#REF!</definedName>
    <definedName name="EPBUD">'[6]Matières premières'!#REF!</definedName>
    <definedName name="Equi">[20]ZBEAC3!$A$40:$O$95</definedName>
    <definedName name="ergferger" localSheetId="1" hidden="1">{"Main Economic Indicators",#N/A,FALSE,"C"}</definedName>
    <definedName name="ergferger" localSheetId="2" hidden="1">{"Main Economic Indicators",#N/A,FALSE,"C"}</definedName>
    <definedName name="ergferger" hidden="1">{"Main Economic Indicators",#N/A,FALSE,"C"}</definedName>
    <definedName name="ESC">'[6]Matières premières'!#REF!</definedName>
    <definedName name="ESCT">'[6]Matières premières'!#REF!</definedName>
    <definedName name="ESPAÑOL">[2]Content!#REF!</definedName>
    <definedName name="EU">[9]CIRRs!$C$62</definedName>
    <definedName name="EUR">[9]CIRRs!$C$87</definedName>
    <definedName name="ex" localSheetId="1" hidden="1">{"Main Economic Indicators",#N/A,FALSE,"C"}</definedName>
    <definedName name="ex" localSheetId="2" hidden="1">{"Main Economic Indicators",#N/A,FALSE,"C"}</definedName>
    <definedName name="ex" hidden="1">{"Main Economic Indicators",#N/A,FALSE,"C"}</definedName>
    <definedName name="Exch.Rate">#REF!</definedName>
    <definedName name="Exchange_rates">[13]assmpts!$A$131:$Q$144</definedName>
    <definedName name="EXP">'[6]Matières premières'!#REF!</definedName>
    <definedName name="EXPEND">[2]Content!#REF!</definedName>
    <definedName name="EXPENDITURE">#REF!</definedName>
    <definedName name="Expferq">'[6]Matières premières'!#REF!</definedName>
    <definedName name="EXPFERUM">'[6]Matières premières'!#REF!</definedName>
    <definedName name="Expferusd">'[6]Matières premières'!#REF!</definedName>
    <definedName name="EXPINDICES">#REF!</definedName>
    <definedName name="export" localSheetId="1" hidden="1">{"Main Economic Indicators",#N/A,FALSE,"C"}</definedName>
    <definedName name="export" localSheetId="2" hidden="1">{"Main Economic Indicators",#N/A,FALSE,"C"}</definedName>
    <definedName name="export" hidden="1">{"Main Economic Indicators",#N/A,FALSE,"C"}</definedName>
    <definedName name="exports">[13]exports!$A$1:$X$66</definedName>
    <definedName name="EXPSPIUSD">'[6]Matières premières'!#REF!</definedName>
    <definedName name="EXPSPIUSDT">'[6]Matières premières'!#REF!</definedName>
    <definedName name="EXPSq_CE">'[6]Matières premières'!#REF!</definedName>
    <definedName name="EXPSq_CE_CA">'[6]Matières premières'!#REF!</definedName>
    <definedName name="EXPSq_CE_CAT">'[6]Matières premières'!#REF!</definedName>
    <definedName name="EXPSq_ce_po">'[6]Matières premières'!#REF!</definedName>
    <definedName name="EXPSq_ce_poT">'[6]Matières premières'!#REF!</definedName>
    <definedName name="EXPSq_CE_SE">'[6]Matières premières'!#REF!</definedName>
    <definedName name="EXPSq_CE_SET">'[6]Matières premières'!#REF!</definedName>
    <definedName name="EXPSq_CET">'[6]Matières premières'!#REF!</definedName>
    <definedName name="EXPSq_CR">'[6]Matières premières'!#REF!</definedName>
    <definedName name="EXPSq_CRT">'[6]Matières premières'!#REF!</definedName>
    <definedName name="EXPSq_DE">'[6]Matières premières'!#REF!</definedName>
    <definedName name="EXPSq_DET">'[6]Matières premières'!#REF!</definedName>
    <definedName name="EXPSq_PE">'[6]Matières premières'!#REF!</definedName>
    <definedName name="EXPSq_PECI">'[6]Matières premières'!#REF!</definedName>
    <definedName name="EXPSq_PECIT">'[6]Matières premières'!#REF!</definedName>
    <definedName name="EXPSq_PET">'[6]Matières premières'!#REF!</definedName>
    <definedName name="EXPSUSD_CE">'[6]Matières premières'!#REF!</definedName>
    <definedName name="EXPSUSD_CE_CA">'[6]Matières premières'!#REF!</definedName>
    <definedName name="EXPSUSD_CE_CAT">'[6]Matières premières'!#REF!</definedName>
    <definedName name="EXPSUSD_CE_po">'[6]Matières premières'!#REF!</definedName>
    <definedName name="EXPSUSD_CE_poT">'[6]Matières premières'!#REF!</definedName>
    <definedName name="EXPSUSD_CE_SE">'[6]Matières premières'!#REF!</definedName>
    <definedName name="EXPSUSD_CE_SET">'[6]Matières premières'!#REF!</definedName>
    <definedName name="EXPSUSD_CET">'[6]Matières premières'!#REF!</definedName>
    <definedName name="EXPSUSD_CR">'[6]Matières premières'!#REF!</definedName>
    <definedName name="EXPSUSD_CRT">'[6]Matières premières'!#REF!</definedName>
    <definedName name="EXPSUSD_DE">'[6]Matières premières'!#REF!</definedName>
    <definedName name="EXPSUSD_DET">'[6]Matières premières'!#REF!</definedName>
    <definedName name="EXPSUSD_PE">'[6]Matières premières'!#REF!</definedName>
    <definedName name="EXPSUSD_PET">'[6]Matières premières'!#REF!</definedName>
    <definedName name="EXR_UPDATE">#REF!</definedName>
    <definedName name="External_debt_indicators">[21]Table3!$F$8:$AB$437:'[21]Table3'!$AB$9</definedName>
    <definedName name="_xlnm.Extract">#REF!</definedName>
    <definedName name="FAM">#REF!</definedName>
    <definedName name="FC">'[6]Matières premières'!#REF!</definedName>
    <definedName name="FC_CEE">'[6]Matières premières'!#REF!</definedName>
    <definedName name="FC_FR">'[6]Matières premières'!#REF!</definedName>
    <definedName name="ff" localSheetId="1" hidden="1">{"Main Economic Indicators",#N/A,FALSE,"C"}</definedName>
    <definedName name="ff" localSheetId="2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localSheetId="2" hidden="1">{"Main Economic Indicators",#N/A,FALSE,"C"}</definedName>
    <definedName name="ffffff" hidden="1">{"Main Economic Indicators",#N/A,FALSE,"C"}</definedName>
    <definedName name="Fin">[20]ZBEAC3!$A$99:$O$152</definedName>
    <definedName name="FINAN">[2]Content!#REF!</definedName>
    <definedName name="FINANBC">'[6]Matières premières'!#REF!</definedName>
    <definedName name="FINANCE">[2]Content!#REF!</definedName>
    <definedName name="FINANCIACION">#REF!</definedName>
    <definedName name="FINEXNBC">'[6]Matières premières'!#REF!</definedName>
    <definedName name="FININ">'[6]Matières premières'!#REF!</definedName>
    <definedName name="FININAT">'[6]Matières premières'!#REF!</definedName>
    <definedName name="FINITOT">'[6]Matières premières'!#REF!</definedName>
    <definedName name="fisc">#REF!</definedName>
    <definedName name="Fisc_to_Bop">[13]In_sys!$Q$54:$AO$70</definedName>
    <definedName name="FISC2E">#REF!</definedName>
    <definedName name="FISCE">#REF!</definedName>
    <definedName name="fishvol">[13]assmpts!$H$27:$O$28</definedName>
    <definedName name="fit" localSheetId="1" hidden="1">{"Main Economic Indicators",#N/A,FALSE,"C"}</definedName>
    <definedName name="fit" localSheetId="2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[9]CIRRs!$C$90</definedName>
    <definedName name="fund">#REF!</definedName>
    <definedName name="g" localSheetId="1" hidden="1">{"Main Economic Indicators",#N/A,FALSE,"C"}</definedName>
    <definedName name="g" localSheetId="2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[9]CIRRs!$C$91</definedName>
    <definedName name="GDP">#REF!</definedName>
    <definedName name="general">[13]assmpts!$A$1:$Z$189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localSheetId="2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localSheetId="2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[9]CIRRs!$C$63</definedName>
    <definedName name="IDA">[9]CIRRs!$C$64</definedName>
    <definedName name="IDA_assistance">'[22]tab 14'!$B$6:$U$25</definedName>
    <definedName name="IFAD">[9]CIRRs!$C$65</definedName>
    <definedName name="IGR">'[6]Matières premières'!#REF!</definedName>
    <definedName name="IMP">'[6]Matières premières'!#REF!</definedName>
    <definedName name="IMPCI">'[6]Matières premières'!#REF!</definedName>
    <definedName name="IMPFG">#REF!</definedName>
    <definedName name="IMPFM">#REF!</definedName>
    <definedName name="IMPgaz">'[6]Matières premières'!#REF!</definedName>
    <definedName name="IMPgazel">'[6]Matières premières'!#REF!</definedName>
    <definedName name="IMPgazGPP">'[6]Matières premières'!#REF!</definedName>
    <definedName name="IMPgazmo">'[6]Matières premières'!#REF!</definedName>
    <definedName name="IMPgazna">'[6]Matières premières'!#REF!</definedName>
    <definedName name="IMPgazq">'[6]Matières premières'!#REF!</definedName>
    <definedName name="IMPgazqel">'[6]Matières premières'!#REF!</definedName>
    <definedName name="IMPgazqGPP">'[6]Matières premières'!#REF!</definedName>
    <definedName name="IMPgazqmo">'[6]Matières premières'!#REF!</definedName>
    <definedName name="IMPgazqna">'[6]Matières premières'!#REF!</definedName>
    <definedName name="IMPgazqsn">'[6]Matières premières'!#REF!</definedName>
    <definedName name="IMPgazqso">'[6]Matières premières'!#REF!</definedName>
    <definedName name="IMPgazsn">'[6]Matières premières'!#REF!</definedName>
    <definedName name="IMPgazso">'[6]Matières premières'!#REF!</definedName>
    <definedName name="IMPGPP">'[6]Matières premières'!#REF!</definedName>
    <definedName name="IMPGPPq">'[6]Matières premières'!#REF!</definedName>
    <definedName name="IMPPP">'[6]Matières premières'!#REF!</definedName>
    <definedName name="IMPPPel">'[6]Matières premières'!#REF!</definedName>
    <definedName name="IMPPPmo">'[6]Matières premières'!#REF!</definedName>
    <definedName name="IMPPPna">'[6]Matières premières'!#REF!</definedName>
    <definedName name="IMPPPq">'[6]Matières premières'!#REF!</definedName>
    <definedName name="IMPPPqel">'[6]Matières premières'!#REF!</definedName>
    <definedName name="IMPPPqmo">'[6]Matières premières'!#REF!</definedName>
    <definedName name="IMPPPqna">'[6]Matières premières'!#REF!</definedName>
    <definedName name="IMPPPqsn">'[6]Matières premières'!#REF!</definedName>
    <definedName name="IMPPPqso">'[6]Matières premières'!#REF!</definedName>
    <definedName name="IMPPPsn">'[6]Matières premières'!#REF!</definedName>
    <definedName name="IMPPPso">'[6]Matières premières'!#REF!</definedName>
    <definedName name="impprel">[23]assmpts!#REF!</definedName>
    <definedName name="INAF">'[6]Matières premières'!#REF!</definedName>
    <definedName name="INAM">'[6]Matières premières'!#REF!</definedName>
    <definedName name="INBA">'[6]Matières premières'!#REF!</definedName>
    <definedName name="INBM">'[6]Matières premières'!#REF!</definedName>
    <definedName name="INCOME">#REF!</definedName>
    <definedName name="Ind">[20]ZBEAC3!$A$159:$O$239</definedName>
    <definedName name="indalim">'[6]Matières premières'!#REF!</definedName>
    <definedName name="indappm">'[6]Matières premières'!#REF!</definedName>
    <definedName name="indcer">'[6]Matières premières'!#REF!</definedName>
    <definedName name="indchau">'[6]Matières premières'!#REF!</definedName>
    <definedName name="indcomb">'[6]Matières premières'!#REF!</definedName>
    <definedName name="indcomm">'[6]Matières premières'!#REF!</definedName>
    <definedName name="indcond">'[6]Matières premières'!#REF!</definedName>
    <definedName name="inddive">'[6]Matières premières'!#REF!</definedName>
    <definedName name="inddome">'[6]Matières premières'!#REF!</definedName>
    <definedName name="indentr">'[6]Matières premières'!#REF!</definedName>
    <definedName name="indequi">'[6]Matières premières'!#REF!</definedName>
    <definedName name="indfrui">'[6]Matières premières'!#REF!</definedName>
    <definedName name="indhabi">'[6]Matières premières'!#REF!</definedName>
    <definedName name="indhabt">'[6]Matières premières'!#REF!</definedName>
    <definedName name="INDI">'[6]Matières premières'!#REF!</definedName>
    <definedName name="INDIC">[2]Content!#REF!</definedName>
    <definedName name="Indiz">[20]ZBEAC1!$A$2826:$O$2915</definedName>
    <definedName name="indlait">'[6]Matières premières'!#REF!</definedName>
    <definedName name="indlegu">'[6]Matières premières'!#REF!</definedName>
    <definedName name="indlois">'[6]Matières premières'!#REF!</definedName>
    <definedName name="indmatc">'[6]Matières premières'!#REF!</definedName>
    <definedName name="indpbe">'[6]Matières premières'!#REF!</definedName>
    <definedName name="indpca">'[6]Matières premières'!#REF!</definedName>
    <definedName name="indpes">'[6]Matières premières'!#REF!</definedName>
    <definedName name="indpeu">'[6]Matières premières'!#REF!</definedName>
    <definedName name="indpfr">'[6]Matières premières'!#REF!</definedName>
    <definedName name="indpg7">'[6]Matières premières'!#REF!</definedName>
    <definedName name="indpge">'[6]Matières premières'!#REF!</definedName>
    <definedName name="indpit">'[6]Matières premières'!#REF!</definedName>
    <definedName name="indpjp">'[6]Matières premières'!#REF!</definedName>
    <definedName name="indpocde">'[6]Matières premières'!#REF!</definedName>
    <definedName name="indpue11">'[6]Matières premières'!#REF!</definedName>
    <definedName name="indsanh">'[6]Matières premières'!#REF!</definedName>
    <definedName name="indsucr">'[6]Matières premières'!#REF!</definedName>
    <definedName name="indtiss">'[6]Matières premières'!#REF!</definedName>
    <definedName name="indvian">'[6]Matières premières'!#REF!</definedName>
    <definedName name="INFA">'[6]Matières premières'!#REF!</definedName>
    <definedName name="INFISC1">#REF!</definedName>
    <definedName name="INFISC2">#REF!</definedName>
    <definedName name="infmbe">'[6]Matières premières'!#REF!</definedName>
    <definedName name="infmca">'[6]Matières premières'!#REF!</definedName>
    <definedName name="infmes">'[6]Matières premières'!#REF!</definedName>
    <definedName name="infmeu">'[6]Matières premières'!#REF!</definedName>
    <definedName name="infmfr">'[6]Matières premières'!#REF!</definedName>
    <definedName name="infmg8">'[6]Matières premières'!#REF!</definedName>
    <definedName name="infmge">'[6]Matières premières'!#REF!</definedName>
    <definedName name="infmit">'[6]Matières premières'!#REF!</definedName>
    <definedName name="infmjp">'[6]Matières premières'!#REF!</definedName>
    <definedName name="infmocde">'[6]Matières premières'!#REF!</definedName>
    <definedName name="infmue12">'[6]Matières premières'!#REF!</definedName>
    <definedName name="ING">[2]Content!#REF!</definedName>
    <definedName name="INGRESOS">#REF!</definedName>
    <definedName name="INMN">#REF!</definedName>
    <definedName name="INMS">'[6]Matières premières'!#REF!</definedName>
    <definedName name="INPN">'[6]Matières premières'!#REF!</definedName>
    <definedName name="INPROJ">#REF!</definedName>
    <definedName name="INRH">'[6]Matières premières'!#REF!</definedName>
    <definedName name="INSR">'[6]Matières premières'!#REF!</definedName>
    <definedName name="int">#REF!</definedName>
    <definedName name="INTDET">'[6]Matières premières'!#REF!</definedName>
    <definedName name="INTDETEXT">'[6]Matières premières'!#REF!</definedName>
    <definedName name="INTDETINT">'[6]Matières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'[6]Matières premières'!#REF!</definedName>
    <definedName name="IRB">'[6]Matières premières'!#REF!</definedName>
    <definedName name="IsDB">[9]CIRRs!$C$68</definedName>
    <definedName name="ITL">[9]CIRRs!$C$94</definedName>
    <definedName name="ITS">'[6]Matières premières'!#REF!</definedName>
    <definedName name="iui" localSheetId="1" hidden="1">{"Main Economic Indicators",#N/A,FALSE,"C"}</definedName>
    <definedName name="iui" localSheetId="2" hidden="1">{"Main Economic Indicators",#N/A,FALSE,"C"}</definedName>
    <definedName name="iui" hidden="1">{"Main Economic Indicators",#N/A,FALSE,"C"}</definedName>
    <definedName name="JPY">[9]CIRRs!$C$95</definedName>
    <definedName name="Just1998">#REF!</definedName>
    <definedName name="KDSE">#REF!</definedName>
    <definedName name="KDSF">#REF!</definedName>
    <definedName name="libe">'[6]Matières premières'!#REF!</definedName>
    <definedName name="lica">'[6]Matières premières'!#REF!</definedName>
    <definedName name="lies">'[6]Matières premières'!#REF!</definedName>
    <definedName name="lieu">'[6]Matières premières'!#REF!</definedName>
    <definedName name="lifr">'[6]Matières premières'!#REF!</definedName>
    <definedName name="lige">'[6]Matières premières'!#REF!</definedName>
    <definedName name="liit">'[6]Matières premières'!#REF!</definedName>
    <definedName name="lijp">'[6]Matières premières'!#REF!</definedName>
    <definedName name="LIVA">'[6]Matières premières'!#REF!</definedName>
    <definedName name="ll" localSheetId="1" hidden="1">{"Main Economic Indicators",#N/A,FALSE,"C"}</definedName>
    <definedName name="ll" localSheetId="2" hidden="1">{"Main Economic Indicators",#N/A,FALSE,"C"}</definedName>
    <definedName name="ll" hidden="1">{"Main Economic Indicators",#N/A,FALSE,"C"}</definedName>
    <definedName name="Lyon">[24]C!$O$1</definedName>
    <definedName name="MACRO">#REF!</definedName>
    <definedName name="MACROS">[2]Content!#REF!</definedName>
    <definedName name="MAIN">[2]Content!#REF!</definedName>
    <definedName name="MATGEN">'[6]Matières premières'!#REF!</definedName>
    <definedName name="MATGENT">'[6]Matières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'[6]Matières premières'!#REF!</definedName>
    <definedName name="MNDATES">#REF!</definedName>
    <definedName name="MOIS">'[6]Matières premières'!$B$3:$DQ$3</definedName>
    <definedName name="MOIST">'[6]Matières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'[6]Matières premières'!#REF!</definedName>
    <definedName name="MONNS">'[6]Matières premières'!#REF!</definedName>
    <definedName name="MONSUM">#REF!</definedName>
    <definedName name="monsur">#REF!</definedName>
    <definedName name="MonSurv">#REF!</definedName>
    <definedName name="MONY">#REF!</definedName>
    <definedName name="MPMDEM">'[6]Matières premières'!#REF!</definedName>
    <definedName name="MSM">#REF!</definedName>
    <definedName name="MTSon">'[6]Matières premières'!#REF!</definedName>
    <definedName name="N_BIE">'[6]Matières premières'!#REF!</definedName>
    <definedName name="N_BIET">'[6]Matières premières'!#REF!</definedName>
    <definedName name="NAMES_A">#REF!</definedName>
    <definedName name="NAMES_NOW">#REF!</definedName>
    <definedName name="NAMES_Q">'[13]Complete Data Set (Quarterly)'!$C$7:$C$196</definedName>
    <definedName name="NAMES_THEN">'[13]Source Data (Previous)'!$C$10:$C$119</definedName>
    <definedName name="NCG_R">#REF!</definedName>
    <definedName name="NCP_R">#REF!</definedName>
    <definedName name="NDF">[9]CIRRs!$C$69</definedName>
    <definedName name="NETRES">'[6]Matières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[9]CIRRs!$C$99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localSheetId="2" hidden="1">{"Main Economic Indicators",#N/A,FALSE,"C"}</definedName>
    <definedName name="nnn" hidden="1">{"Main Economic Indicators",#N/A,FALSE,"C"}</definedName>
    <definedName name="NOK">[9]CIRRs!$C$100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[9]CIRRs!$C$66</definedName>
    <definedName name="oth">#REF!</definedName>
    <definedName name="OTHER">[2]Content!#REF!</definedName>
    <definedName name="OTHEX">'[6]Matières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'[6]Matières premières'!#REF!</definedName>
    <definedName name="PALIM">'[6]Matières premières'!#REF!</definedName>
    <definedName name="PanelChart">#REF!</definedName>
    <definedName name="pappm">'[6]Matières premières'!#REF!</definedName>
    <definedName name="PASA">'[6]Matières premières'!#REF!</definedName>
    <definedName name="PASAT">'[6]Matières premières'!#REF!</definedName>
    <definedName name="PASEP">'[6]Matières premières'!#REF!</definedName>
    <definedName name="PASEPT">'[6]Matières premières'!#REF!</definedName>
    <definedName name="pcer">'[6]Matières premières'!#REF!</definedName>
    <definedName name="pchau">'[6]Matières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'[6]Matières premières'!#REF!</definedName>
    <definedName name="pcomm">'[6]Matières premières'!#REF!</definedName>
    <definedName name="pcond">'[6]Matières premières'!#REF!</definedName>
    <definedName name="PCONS">'[6]Matières premières'!#REF!</definedName>
    <definedName name="pdive">'[6]Matières premières'!#REF!</definedName>
    <definedName name="pdome">'[6]Matières premières'!#REF!</definedName>
    <definedName name="PENSION">'[6]Matières premières'!#REF!</definedName>
    <definedName name="PENSIONT">'[6]Matières premières'!#REF!</definedName>
    <definedName name="pentr">'[6]Matières premières'!#REF!</definedName>
    <definedName name="pequi">'[6]Matières premières'!#REF!</definedName>
    <definedName name="PERF2E">#REF!</definedName>
    <definedName name="PERF2F">#REF!</definedName>
    <definedName name="PEXP_ce">'[6]Matières premières'!#REF!</definedName>
    <definedName name="PEXP_de">'[6]Matières premières'!#REF!</definedName>
    <definedName name="PEXP_fe">'[6]Matières premières'!#REF!</definedName>
    <definedName name="PEXP_pe">'[6]Matières premières'!#REF!</definedName>
    <definedName name="PEXPFER">'[6]Matières premières'!#REF!</definedName>
    <definedName name="PFAR">'[6]Matières premières'!#REF!</definedName>
    <definedName name="pfrui">'[6]Matières premières'!#REF!</definedName>
    <definedName name="PGLISSEMT">'[6]Matières premières'!#REF!</definedName>
    <definedName name="phabi">'[6]Matières premières'!#REF!</definedName>
    <definedName name="phabt">'[6]Matières premières'!#REF!</definedName>
    <definedName name="PHUI">'[6]Matières premières'!#REF!</definedName>
    <definedName name="pib">#REF!</definedName>
    <definedName name="PIBfTTcnT">[25]macro!$B$308:$AS$308</definedName>
    <definedName name="pibm">#REF!</definedName>
    <definedName name="PIMP_bl">'[6]Matières premières'!#REF!</definedName>
    <definedName name="PIMP_ci">'[6]Matières premières'!#REF!</definedName>
    <definedName name="PIMP_hu">'[6]Matières premières'!#REF!</definedName>
    <definedName name="PIMP_pp">'[6]Matières premières'!#REF!</definedName>
    <definedName name="PIMP_ri">'[6]Matières premières'!#REF!</definedName>
    <definedName name="PIMP_su">'[6]Matières premières'!#REF!</definedName>
    <definedName name="PIMPP">'[6]Matières premières'!#REF!</definedName>
    <definedName name="plait">'[6]Matières premières'!#REF!</definedName>
    <definedName name="plegu">'[6]Matières premières'!#REF!</definedName>
    <definedName name="plois">'[6]Matières premières'!#REF!</definedName>
    <definedName name="pmatc">'[6]Matières premières'!#REF!</definedName>
    <definedName name="PMCAL">'[6]Matières premières'!#REF!</definedName>
    <definedName name="PMCALT">'[6]Matières premières'!#REF!</definedName>
    <definedName name="PMCEP">'[6]Matières premières'!#REF!</definedName>
    <definedName name="PMCEPT">'[6]Matières premières'!#REF!</definedName>
    <definedName name="PMCO">'[6]Matières premières'!#REF!</definedName>
    <definedName name="PMCRU">'[6]Matières premières'!#REF!</definedName>
    <definedName name="PMCRUT">'[6]Matières premières'!#REF!</definedName>
    <definedName name="PMDEM">'[6]Matières premières'!#REF!</definedName>
    <definedName name="PMDEMT">'[6]Matières premières'!#REF!</definedName>
    <definedName name="PMEXP">'[6]Matières premières'!#REF!</definedName>
    <definedName name="PMEXPT">'[6]Matières premières'!#REF!</definedName>
    <definedName name="PMPEL">'[6]Matières premières'!#REF!</definedName>
    <definedName name="PMPELT">'[6]Matières premières'!#REF!</definedName>
    <definedName name="PMPOU">'[6]Matières premières'!#REF!</definedName>
    <definedName name="PMPOUT">'[6]Matières premières'!#REF!</definedName>
    <definedName name="PMSEI">'[6]Matières premières'!#REF!</definedName>
    <definedName name="PMSEIT">'[6]Matières premières'!#REF!</definedName>
    <definedName name="PPLA">'[6]Matières premières'!#REF!</definedName>
    <definedName name="PPN">'[6]Matières premières'!#REF!</definedName>
    <definedName name="PPPWGT">#REF!</definedName>
    <definedName name="PPRO">'[6]Matières premières'!#REF!</definedName>
    <definedName name="PPROG">'[6]Matières premières'!#REF!</definedName>
    <definedName name="PPRONT">'[6]Matières premières'!#REF!</definedName>
    <definedName name="Print">'[26]chart 1'!$W$11:$X$11</definedName>
    <definedName name="Print_Area_MI">#REF!</definedName>
    <definedName name="PrintArea1">#REF!</definedName>
    <definedName name="PrintArea2">#REF!</definedName>
    <definedName name="PRIZ">'[6]Matières premières'!#REF!</definedName>
    <definedName name="Prod_PECI">'[6]Matières premières'!#REF!</definedName>
    <definedName name="Prod_PECIT">'[6]Matières premières'!#REF!</definedName>
    <definedName name="Prod5I">'[6]Matières premières'!#REF!</definedName>
    <definedName name="Prodfer">'[6]Matières premières'!#REF!</definedName>
    <definedName name="ProdSon">'[6]Matières premières'!#REF!</definedName>
    <definedName name="PROG">#REF!</definedName>
    <definedName name="prog96">#REF!</definedName>
    <definedName name="psanh">'[6]Matières premières'!#REF!</definedName>
    <definedName name="PSUC">'[6]Matières premières'!#REF!</definedName>
    <definedName name="psucr">'[6]Matières premières'!#REF!</definedName>
    <definedName name="PTHE">'[6]Matières premières'!#REF!</definedName>
    <definedName name="ptiss">'[6]Matières premières'!#REF!</definedName>
    <definedName name="Pugaz">'[6]Matières premières'!#REF!</definedName>
    <definedName name="pvian">'[6]Matières premières'!#REF!</definedName>
    <definedName name="quart">#REF!</definedName>
    <definedName name="rac">#REF!</definedName>
    <definedName name="RAP">'[6]Matières premières'!#REF!</definedName>
    <definedName name="Real_to_BOP">[13]In_sys!$Q$10:$AO$39</definedName>
    <definedName name="RECAP">'[6]Matières premières'!#REF!</definedName>
    <definedName name="RECBCON">'[6]Matières premières'!#REF!</definedName>
    <definedName name="RECOU">'[6]Matières premières'!#REF!</definedName>
    <definedName name="RECOUT">'[6]Matières premières'!#REF!</definedName>
    <definedName name="RED20B">'[15]Table 18'!#REF!</definedName>
    <definedName name="RED21B">'[15]Table 18'!#REF!</definedName>
    <definedName name="REDT18">#REF!</definedName>
    <definedName name="REDT19">'[15]Table 18'!#REF!</definedName>
    <definedName name="REDUC">#REF!</definedName>
    <definedName name="RESERVES">'[6]Matières premières'!#REF!</definedName>
    <definedName name="RESERVEST">'[6]Matières premières'!#REF!</definedName>
    <definedName name="RESTR">'[6]Matières premières'!#REF!</definedName>
    <definedName name="RESTR_EP">'[6]Matières premières'!#REF!</definedName>
    <definedName name="RESTR_EPT">'[6]Matières premières'!#REF!</definedName>
    <definedName name="rev">#REF!</definedName>
    <definedName name="revenue">[27]C!$A$747:$IV$747</definedName>
    <definedName name="Revisions">#REF!</definedName>
    <definedName name="RF">'[6]Matières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'[6]Matières premières'!#REF!</definedName>
    <definedName name="RNGNM">#REF!</definedName>
    <definedName name="rr" localSheetId="1" hidden="1">{"Main Economic Indicators",#N/A,FALSE,"C"}</definedName>
    <definedName name="rr" localSheetId="2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localSheetId="2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localSheetId="2" hidden="1">{"Main Economic Indicators",#N/A,FALSE,"C"}</definedName>
    <definedName name="rtre" hidden="1">{"Main Economic Indicators",#N/A,FALSE,"C"}</definedName>
    <definedName name="rXDR">[9]CIRRs!$C$109</definedName>
    <definedName name="s" localSheetId="1" hidden="1">{"Main Economic Indicators",#N/A,FALSE,"C"}</definedName>
    <definedName name="s" localSheetId="2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[9]CIRRs!$C$103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localSheetId="2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'[8]New CPI'!#REF!</definedName>
    <definedName name="SOCE">#REF!</definedName>
    <definedName name="SOCF">#REF!</definedName>
    <definedName name="SOLCOURD">'[6]Matières premières'!#REF!</definedName>
    <definedName name="SOLGLC">'[6]Matières premières'!#REF!</definedName>
    <definedName name="SOLGLE">'[6]Matières premières'!#REF!</definedName>
    <definedName name="SPANSTUB">'[16]Q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localSheetId="2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localSheetId="2" hidden="1">{"Main Economic Indicators",#N/A,FALSE,"C"}</definedName>
    <definedName name="st" hidden="1">{"Main Economic Indicators",#N/A,FALSE,"C"}</definedName>
    <definedName name="STABEX">'[6]Matières premières'!#REF!</definedName>
    <definedName name="STABEXT">'[6]Matières premières'!#REF!</definedName>
    <definedName name="STOP">#REF!</definedName>
    <definedName name="SUBV">'[6]Matières premières'!#REF!</definedName>
    <definedName name="SUBVINT">'[6]Matières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[8]CIRRs!$C$80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'[19]Table 1'!#REF!</definedName>
    <definedName name="table">#REF!</definedName>
    <definedName name="TABLE_16">'[15]Table 14'!#REF!</definedName>
    <definedName name="TABLE_17">'[15]Table 14'!#REF!</definedName>
    <definedName name="Table_39">#REF!</definedName>
    <definedName name="Table_40">#REF!</definedName>
    <definedName name="Table_5a">[12]E!#REF!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[28]Table5!$A$1:$E$50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[29]DSA!#REF!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'[6]Matières premières'!#REF!</definedName>
    <definedName name="TBS">'[6]Matières premières'!#REF!</definedName>
    <definedName name="TCATPS">'[6]Matières premières'!#REF!</definedName>
    <definedName name="tcMPMDEM">'[6]Matières premières'!#REF!</definedName>
    <definedName name="TCONS">'[6]Matières premières'!#REF!</definedName>
    <definedName name="tcPMDEM">'[6]Matières premières'!#REF!</definedName>
    <definedName name="TELECOM">'[6]Matières premières'!#REF!</definedName>
    <definedName name="test">#REF!</definedName>
    <definedName name="test2">#REF!</definedName>
    <definedName name="test3">#REF!</definedName>
    <definedName name="tester">#REF!</definedName>
    <definedName name="TIMP">'[6]Matières premières'!#REF!</definedName>
    <definedName name="TIMPT">'[6]Matières premières'!#REF!</definedName>
    <definedName name="Tiof">#REF!</definedName>
    <definedName name="tit" localSheetId="1" hidden="1">{"Main Economic Indicators",#N/A,FALSE,"C"}</definedName>
    <definedName name="tit" localSheetId="2" hidden="1">{"Main Economic Indicators",#N/A,FALSE,"C"}</definedName>
    <definedName name="tit" hidden="1">{"Main Economic Indicators",#N/A,FALSE,"C"}</definedName>
    <definedName name="tofe">#REF!</definedName>
    <definedName name="TOTCRCT">'[6]Matières premières'!#REF!</definedName>
    <definedName name="TOTDEP">'[6]Matières premières'!#REF!</definedName>
    <definedName name="TOTEXP">'[6]Matières premières'!#REF!</definedName>
    <definedName name="TOTEXPq">'[6]Matières premières'!#REF!</definedName>
    <definedName name="TOTIMP">'[6]Matières premières'!#REF!</definedName>
    <definedName name="TOTIMPq">'[6]Matières premières'!#REF!</definedName>
    <definedName name="TOTOLDTABLE">#REF!</definedName>
    <definedName name="TOTRESS">'[6]Matières premières'!#REF!</definedName>
    <definedName name="TPP">'[6]Matières premières'!#REF!</definedName>
    <definedName name="TPROP">'[6]Matières premières'!#REF!</definedName>
    <definedName name="TRADEINDICES">#REF!</definedName>
    <definedName name="TRAEXT">'[6]Matières premières'!#REF!</definedName>
    <definedName name="TRANSFERS">#REF!</definedName>
    <definedName name="TSAL">'[6]Matières premières'!#REF!</definedName>
    <definedName name="tt" localSheetId="1" hidden="1">{"Main Economic Indicators",#N/A,FALSE,"C"}</definedName>
    <definedName name="tt" localSheetId="2" hidden="1">{"Main Economic Indicators",#N/A,FALSE,"C"}</definedName>
    <definedName name="tt" hidden="1">{"Main Economic Indicators",#N/A,FALSE,"C"}</definedName>
    <definedName name="TVA">'[6]Matières premières'!#REF!</definedName>
    <definedName name="txchombe">'[6]Matières premières'!#REF!</definedName>
    <definedName name="txchomca">'[6]Matières premières'!#REF!</definedName>
    <definedName name="txchomes">'[6]Matières premières'!#REF!</definedName>
    <definedName name="txchomeu">'[6]Matières premières'!#REF!</definedName>
    <definedName name="txchomfr">'[6]Matières premières'!#REF!</definedName>
    <definedName name="txchomg7">'[6]Matières premières'!#REF!</definedName>
    <definedName name="txchomge">'[6]Matières premières'!#REF!</definedName>
    <definedName name="txchomit">'[6]Matières premières'!#REF!</definedName>
    <definedName name="txchomjp">'[6]Matières premières'!#REF!</definedName>
    <definedName name="txchomocde">'[6]Matières premières'!#REF!</definedName>
    <definedName name="txchomue11">'[6]Matières premières'!#REF!</definedName>
    <definedName name="TxESC">'[6]Matières premières'!#REF!</definedName>
    <definedName name="TxESCT">'[6]Matières premières'!#REF!</definedName>
    <definedName name="TxPEN">'[6]Matières premières'!#REF!</definedName>
    <definedName name="TxPENT">'[6]Matières premières'!#REF!</definedName>
    <definedName name="TxRES">'[6]Matières premières'!#REF!</definedName>
    <definedName name="TxREST">'[6]Matières premières'!#REF!</definedName>
    <definedName name="Txumff">'[6]Matières premières'!#REF!</definedName>
    <definedName name="txumjpy">'[6]Matières premières'!#REF!</definedName>
    <definedName name="Txumusd">'[6]Matières premières'!#REF!</definedName>
    <definedName name="txumxeu">'[6]Matières premières'!#REF!</definedName>
    <definedName name="txusdjpy">'[6]Matières premières'!#REF!</definedName>
    <definedName name="txusdxeu">'[6]Matières premières'!#REF!</definedName>
    <definedName name="uildhflgjksfhdsidufhweuryuiweyruweyr">#REF!</definedName>
    <definedName name="USD">[9]CIRRs!$C$105</definedName>
    <definedName name="V">[30]I!#REF!</definedName>
    <definedName name="Valuation">#REF!</definedName>
    <definedName name="VAR">'[6]Matières premières'!#REF!</definedName>
    <definedName name="volume_trade">#REF!</definedName>
    <definedName name="W">'[8]Matières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localSheetId="2" hidden="1">{"Main Economic Indicators",#N/A,FALSE,"C"}</definedName>
    <definedName name="wrn.Main._.Economic._.Indicators." hidden="1">{"Main Economic Indicators",#N/A,FALSE,"C"}</definedName>
    <definedName name="Wt_d">[9]CIRRs!$C$59</definedName>
    <definedName name="XandRev">'[22]tab 3'!$F$63:$Z$65</definedName>
    <definedName name="xdr">#REF!</definedName>
    <definedName name="xf" localSheetId="1" hidden="1">{"Main Economic Indicators",#N/A,FALSE,"C"}</definedName>
    <definedName name="xf" localSheetId="2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'[31]Out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'[19]Table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7" l="1"/>
  <c r="AN4" i="7"/>
  <c r="AL4" i="7"/>
</calcChain>
</file>

<file path=xl/sharedStrings.xml><?xml version="1.0" encoding="utf-8"?>
<sst xmlns="http://schemas.openxmlformats.org/spreadsheetml/2006/main" count="210" uniqueCount="68">
  <si>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</si>
  <si>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</si>
  <si>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</si>
  <si>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</si>
  <si>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</si>
  <si>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</si>
  <si>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</si>
  <si>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</si>
  <si>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</si>
  <si>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Masse monétaire</t>
  </si>
  <si>
    <t>Monnaie</t>
  </si>
  <si>
    <t>Circulation fiduciaire</t>
  </si>
  <si>
    <t>Monnaie scripturale</t>
  </si>
  <si>
    <t>Depôts à vue</t>
  </si>
  <si>
    <t>Quasi-monnaie</t>
  </si>
  <si>
    <t>Autres postes (net)</t>
  </si>
  <si>
    <t>Créances nettes sur l'extérieurs</t>
  </si>
  <si>
    <t>Avoirs extérieurs</t>
  </si>
  <si>
    <t>Engagements</t>
  </si>
  <si>
    <t>Crédits intérieurs</t>
  </si>
  <si>
    <t>Créances sur l'économie</t>
  </si>
  <si>
    <t>Créances sur l'Etat</t>
  </si>
  <si>
    <t>Agriculture, élevage et pêche</t>
  </si>
  <si>
    <t>Agriculture et élevage</t>
  </si>
  <si>
    <t>1618 ,2</t>
  </si>
  <si>
    <t>Pêche</t>
  </si>
  <si>
    <t>Industries</t>
  </si>
  <si>
    <t>Mines</t>
  </si>
  <si>
    <t>Industries manufacturières</t>
  </si>
  <si>
    <t>BTP</t>
  </si>
  <si>
    <t>Services</t>
  </si>
  <si>
    <t>Commerce</t>
  </si>
  <si>
    <t>Transport</t>
  </si>
  <si>
    <t>Autres Services</t>
  </si>
  <si>
    <t>Autres</t>
  </si>
  <si>
    <t>Taux créditeur plancher</t>
  </si>
  <si>
    <t>Taux débiteur plafond</t>
  </si>
  <si>
    <t>Taux directeur de la BCM</t>
  </si>
  <si>
    <t>Agreg</t>
  </si>
  <si>
    <t>MONNAIE ET CREDITS</t>
  </si>
  <si>
    <t>Somme</t>
  </si>
  <si>
    <t>Total</t>
  </si>
  <si>
    <t>Déc06</t>
  </si>
  <si>
    <t>Déc07</t>
  </si>
  <si>
    <t>Déc08</t>
  </si>
  <si>
    <t>Déc09</t>
  </si>
  <si>
    <t>Déc10</t>
  </si>
  <si>
    <t>Déc11</t>
  </si>
  <si>
    <t>Déc12</t>
  </si>
  <si>
    <t>Déc13</t>
  </si>
  <si>
    <t>Déc14</t>
  </si>
  <si>
    <t>Déc15</t>
  </si>
  <si>
    <t>Déc16</t>
  </si>
  <si>
    <t>Déc17</t>
  </si>
  <si>
    <t>Déc18</t>
  </si>
  <si>
    <t>Déc19</t>
  </si>
  <si>
    <t>Déc20</t>
  </si>
  <si>
    <t>Déc21</t>
  </si>
  <si>
    <t>Déc22</t>
  </si>
  <si>
    <t>Déc23</t>
  </si>
  <si>
    <t>Déc24</t>
  </si>
  <si>
    <t>BCM</t>
  </si>
  <si>
    <t xml:space="preserve">Total ressources </t>
  </si>
  <si>
    <t>Total contreparties</t>
  </si>
  <si>
    <t>Tableau 4.5.1 : Les ressources du système monétaire et leurs contreparties (Millions de MRU)</t>
  </si>
  <si>
    <t>Tableau 4.5.3 : Taux d'intérêt (en %)</t>
  </si>
  <si>
    <t>Taux moyen des bons du trésor</t>
  </si>
  <si>
    <t>Tableau 4.5.2 : Concours bancaires annuels par secteur (Millions de MRU)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</si>
</sst>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General_)"/>
    <numFmt numFmtId="166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0"/>
      <name val="Arial"/>
      <family val="2"/>
    </font>
    <font>
      <b/>
      <sz val="18"/>
      <color theme="0"/>
      <name val="Sakkal Majalla"/>
    </font>
    <font>
      <b/>
      <sz val="18"/>
      <name val="Sakkal Majalla"/>
    </font>
    <font>
      <b/>
      <sz val="18"/>
      <name val="Arabic Typesetting"/>
      <family val="4"/>
    </font>
    <font>
      <b/>
      <i/>
      <sz val="10"/>
      <name val="Sakkal Majalla"/>
    </font>
    <font>
      <b/>
      <sz val="10"/>
      <name val="Arabic Typesetting"/>
      <family val="4"/>
    </font>
    <font>
      <sz val="18"/>
      <name val="Sakkal Majalla"/>
    </font>
    <font>
      <sz val="18"/>
      <name val="Arabic Typesetting"/>
      <family val="4"/>
    </font>
    <font>
      <i/>
      <sz val="10"/>
      <name val="Sakkal Majalla"/>
    </font>
    <font>
      <sz val="10"/>
      <name val="Arabic Typesetting"/>
      <family val="4"/>
    </font>
    <font>
      <sz val="10"/>
      <name val="MS Sans Serif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2" fillId="0" borderId="0"/>
    <xf numFmtId="43" fontId="13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/>
    </xf>
    <xf numFmtId="0" fontId="4" fillId="0" borderId="0" xfId="1" applyFont="1" applyAlignment="1">
      <alignment vertical="center"/>
    </xf>
    <xf numFmtId="0" fontId="7" fillId="0" borderId="0" xfId="0" applyFont="1"/>
    <xf numFmtId="0" fontId="8" fillId="0" borderId="1" xfId="1" applyFont="1" applyBorder="1" applyAlignment="1">
      <alignment horizontal="left"/>
    </xf>
    <xf numFmtId="0" fontId="9" fillId="0" borderId="1" xfId="1" applyFont="1" applyBorder="1" applyAlignment="1">
      <alignment readingOrder="2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 vertical="top"/>
    </xf>
    <xf numFmtId="0" fontId="8" fillId="0" borderId="0" xfId="1" applyFont="1"/>
    <xf numFmtId="0" fontId="9" fillId="0" borderId="0" xfId="1" applyFont="1"/>
    <xf numFmtId="3" fontId="8" fillId="0" borderId="0" xfId="1" applyNumberFormat="1" applyFont="1"/>
    <xf numFmtId="0" fontId="3" fillId="2" borderId="1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0" fontId="11" fillId="0" borderId="0" xfId="0" applyFont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0" xfId="0" applyFont="1"/>
    <xf numFmtId="0" fontId="4" fillId="0" borderId="0" xfId="2" applyFont="1"/>
    <xf numFmtId="0" fontId="8" fillId="0" borderId="1" xfId="0" applyFont="1" applyBorder="1"/>
    <xf numFmtId="0" fontId="9" fillId="0" borderId="1" xfId="0" applyFont="1" applyBorder="1"/>
    <xf numFmtId="0" fontId="10" fillId="0" borderId="0" xfId="1" applyFont="1"/>
    <xf numFmtId="0" fontId="6" fillId="0" borderId="0" xfId="1" applyFont="1"/>
    <xf numFmtId="166" fontId="4" fillId="0" borderId="1" xfId="4" applyNumberFormat="1" applyFont="1" applyBorder="1"/>
    <xf numFmtId="166" fontId="8" fillId="0" borderId="1" xfId="4" applyNumberFormat="1" applyFont="1" applyBorder="1"/>
    <xf numFmtId="166" fontId="8" fillId="0" borderId="1" xfId="4" applyNumberFormat="1" applyFont="1" applyBorder="1" applyAlignment="1">
      <alignment horizontal="right" wrapText="1"/>
    </xf>
    <xf numFmtId="166" fontId="8" fillId="0" borderId="1" xfId="4" applyNumberFormat="1" applyFont="1" applyBorder="1" applyAlignment="1">
      <alignment horizontal="right"/>
    </xf>
    <xf numFmtId="43" fontId="8" fillId="0" borderId="1" xfId="4" applyNumberFormat="1" applyFont="1" applyBorder="1"/>
    <xf numFmtId="43" fontId="8" fillId="0" borderId="1" xfId="4" applyNumberFormat="1" applyFont="1" applyBorder="1" applyAlignment="1">
      <alignment horizontal="right"/>
    </xf>
  </cellXfs>
  <cellStyles count="5">
    <cellStyle name="Milliers" xfId="4" builtinId="3"/>
    <cellStyle name="Normal" xfId="0" builtinId="0"/>
    <cellStyle name="Normal 2" xfId="3" xr:uid="{BE5060A1-67D6-4277-AAB3-BC6BA71F541C}"/>
    <cellStyle name="Normal_Masse_montaire_et_contreparties_95_2005 2" xfId="1" xr:uid="{29F6D1E4-F117-416A-86B7-16920C008429}"/>
    <cellStyle name="Normal_Prix_moy_mensuel_variete" xfId="2" xr:uid="{16497357-E174-4E8E-A7B9-A642D210F227}"/>
  </cellStyles>
  <dxfs count="0"/>
  <tableStyles count="1" defaultTableStyle="TableStyleMedium9" defaultPivotStyle="PivotStyleLight16">
    <tableStyle name="Invisible" pivot="0" table="0" count="0" xr9:uid="{57C7A02E-745A-466D-A27C-76231BCFEA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INPIP\Escritorio\copie%20mini%20disc%20jaune\Mes%20Documents\MAM\DATOS2001\GQSE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3020-DD43-4647-952A-495801D0E7AE}">
  <sheetPr>
    <tabColor theme="6"/>
  </sheetPr>
  <dimension ref="A1:AC35"/>
  <sheetViews>
    <sheetView zoomScale="55" workbookViewId="0">
      <selection activeCell="I10" sqref="I10"/>
    </sheetView>
  </sheetViews>
  <sheetFormatPr baseColWidth="10" defaultRowHeight="15" x14ac:dyDescent="0.25"/>
  <cols>
    <col min="2" max="2" width="22.28515625" bestFit="1" customWidth="1"/>
    <col min="3" max="3" width="15.7109375" bestFit="1" customWidth="1"/>
    <col min="4" max="4" width="107.28515625" bestFit="1" customWidth="1"/>
    <col min="5" max="5" width="52.28515625" bestFit="1" customWidth="1"/>
    <col min="9" max="9" width="36.28515625" customWidth="1"/>
    <col min="10" max="10" width="19.42578125" customWidth="1"/>
    <col min="11" max="11" width="16.42578125" customWidth="1"/>
    <col min="12" max="12" width="14.85546875" customWidth="1"/>
    <col min="13" max="13" width="13.85546875" customWidth="1"/>
    <col min="14" max="14" width="15" customWidth="1"/>
    <col min="15" max="15" width="14" bestFit="1" customWidth="1"/>
    <col min="16" max="16" width="12.42578125" customWidth="1"/>
    <col min="17" max="23" width="14" bestFit="1" customWidth="1"/>
    <col min="24" max="28" width="15.42578125" bestFit="1" customWidth="1"/>
    <col min="29" max="29" width="14.140625" bestFit="1" customWidth="1"/>
  </cols>
  <sheetData>
    <row r="1" spans="1:29" ht="30.75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42</v>
      </c>
      <c r="L1" s="1" t="s">
        <v>43</v>
      </c>
      <c r="M1" s="1" t="s">
        <v>44</v>
      </c>
      <c r="N1" s="1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</row>
    <row r="2" spans="1:29" ht="27.75" x14ac:dyDescent="0.65">
      <c r="B2" t="s">
        <v>39</v>
      </c>
      <c r="D2" s="3" t="s">
        <v>64</v>
      </c>
      <c r="E2" s="23" t="s">
        <v>61</v>
      </c>
      <c r="F2">
        <v>1</v>
      </c>
      <c r="G2">
        <v>1</v>
      </c>
      <c r="I2" s="5" t="s">
        <v>9</v>
      </c>
      <c r="J2" s="6" t="s">
        <v>40</v>
      </c>
      <c r="K2" s="25">
        <v>17791.8</v>
      </c>
      <c r="L2" s="25">
        <v>21155.8</v>
      </c>
      <c r="M2" s="25">
        <v>24063.3</v>
      </c>
      <c r="N2" s="25">
        <v>27711.7</v>
      </c>
      <c r="O2" s="25">
        <v>30751.5</v>
      </c>
      <c r="P2" s="25">
        <v>37415.4</v>
      </c>
      <c r="Q2" s="25">
        <v>41343.800000000003</v>
      </c>
      <c r="R2" s="25">
        <v>46967.3</v>
      </c>
      <c r="S2" s="25">
        <v>51016.2</v>
      </c>
      <c r="T2" s="25">
        <v>56119.1</v>
      </c>
      <c r="U2" s="25">
        <v>59805.5</v>
      </c>
      <c r="V2" s="25">
        <v>67287</v>
      </c>
      <c r="W2" s="25">
        <v>75897</v>
      </c>
      <c r="X2" s="25">
        <v>83499</v>
      </c>
      <c r="Y2" s="25">
        <v>96041</v>
      </c>
      <c r="Z2" s="25">
        <v>118198</v>
      </c>
      <c r="AA2" s="27">
        <v>128201</v>
      </c>
      <c r="AB2" s="27">
        <v>138627</v>
      </c>
      <c r="AC2" s="27">
        <v>163465.77248579898</v>
      </c>
    </row>
    <row r="3" spans="1:29" ht="27.75" x14ac:dyDescent="0.65">
      <c r="B3" t="s">
        <v>39</v>
      </c>
      <c r="D3" s="3" t="s">
        <v>64</v>
      </c>
      <c r="E3" s="23" t="s">
        <v>61</v>
      </c>
      <c r="F3">
        <v>2</v>
      </c>
      <c r="G3">
        <v>2</v>
      </c>
      <c r="H3">
        <v>1</v>
      </c>
      <c r="I3" s="7" t="s">
        <v>10</v>
      </c>
      <c r="J3" s="6" t="s">
        <v>40</v>
      </c>
      <c r="K3" s="27">
        <v>14874.1</v>
      </c>
      <c r="L3" s="27">
        <v>17105.7</v>
      </c>
      <c r="M3" s="27">
        <v>20305.7</v>
      </c>
      <c r="N3" s="27">
        <v>23119.3</v>
      </c>
      <c r="O3" s="27">
        <v>25870.5</v>
      </c>
      <c r="P3" s="27">
        <v>32382.5</v>
      </c>
      <c r="Q3" s="27">
        <v>36181.800000000003</v>
      </c>
      <c r="R3" s="27">
        <v>40473.699999999997</v>
      </c>
      <c r="S3" s="27">
        <v>44010.400000000001</v>
      </c>
      <c r="T3" s="27">
        <v>47018.1</v>
      </c>
      <c r="U3" s="27">
        <v>49223.8</v>
      </c>
      <c r="V3" s="27">
        <v>55157</v>
      </c>
      <c r="W3" s="27">
        <v>62352</v>
      </c>
      <c r="X3" s="27">
        <v>68910</v>
      </c>
      <c r="Y3" s="27">
        <v>79933</v>
      </c>
      <c r="Z3" s="27">
        <v>99886</v>
      </c>
      <c r="AA3" s="27">
        <v>103824</v>
      </c>
      <c r="AB3" s="27">
        <v>114239</v>
      </c>
      <c r="AC3" s="27">
        <v>135325.3952479758</v>
      </c>
    </row>
    <row r="4" spans="1:29" ht="27.75" x14ac:dyDescent="0.65">
      <c r="B4" t="s">
        <v>39</v>
      </c>
      <c r="D4" s="3" t="s">
        <v>64</v>
      </c>
      <c r="E4" s="23" t="s">
        <v>61</v>
      </c>
      <c r="F4">
        <v>3</v>
      </c>
      <c r="G4">
        <v>3</v>
      </c>
      <c r="H4">
        <v>2</v>
      </c>
      <c r="I4" s="5" t="s">
        <v>11</v>
      </c>
      <c r="J4" s="6" t="s">
        <v>40</v>
      </c>
      <c r="K4" s="27">
        <v>6643</v>
      </c>
      <c r="L4" s="27">
        <v>6892.4</v>
      </c>
      <c r="M4" s="27">
        <v>6998.9</v>
      </c>
      <c r="N4" s="27">
        <v>8222.6</v>
      </c>
      <c r="O4" s="27">
        <v>8670.4</v>
      </c>
      <c r="P4" s="27">
        <v>10089.9</v>
      </c>
      <c r="Q4" s="27">
        <v>11529.3</v>
      </c>
      <c r="R4" s="27">
        <v>13272.8</v>
      </c>
      <c r="S4" s="27">
        <v>13092.2</v>
      </c>
      <c r="T4" s="27">
        <v>12966.5</v>
      </c>
      <c r="U4" s="27">
        <v>14138.5</v>
      </c>
      <c r="V4" s="27">
        <v>14894</v>
      </c>
      <c r="W4" s="27">
        <v>15594</v>
      </c>
      <c r="X4" s="27">
        <v>17424</v>
      </c>
      <c r="Y4" s="27">
        <v>22737</v>
      </c>
      <c r="Z4" s="27">
        <v>25701</v>
      </c>
      <c r="AA4" s="27">
        <v>22187</v>
      </c>
      <c r="AB4" s="27">
        <v>22915</v>
      </c>
      <c r="AC4" s="25">
        <v>24788.061377632406</v>
      </c>
    </row>
    <row r="5" spans="1:29" ht="27.75" x14ac:dyDescent="0.65">
      <c r="B5" t="s">
        <v>39</v>
      </c>
      <c r="D5" s="3" t="s">
        <v>64</v>
      </c>
      <c r="E5" s="23" t="s">
        <v>61</v>
      </c>
      <c r="F5">
        <v>4</v>
      </c>
      <c r="G5">
        <v>4</v>
      </c>
      <c r="H5">
        <v>2</v>
      </c>
      <c r="I5" s="5" t="s">
        <v>12</v>
      </c>
      <c r="J5" s="6" t="s">
        <v>40</v>
      </c>
      <c r="K5" s="27">
        <v>8231.1</v>
      </c>
      <c r="L5" s="27">
        <v>10213.299999999999</v>
      </c>
      <c r="M5" s="27">
        <v>13306.8</v>
      </c>
      <c r="N5" s="27">
        <v>14896.7</v>
      </c>
      <c r="O5" s="27">
        <v>17200.099999999999</v>
      </c>
      <c r="P5" s="27">
        <v>22292.6</v>
      </c>
      <c r="Q5" s="27">
        <v>24652.5</v>
      </c>
      <c r="R5" s="27">
        <v>27200.9</v>
      </c>
      <c r="S5" s="27">
        <v>30918.2</v>
      </c>
      <c r="T5" s="27">
        <v>34051.599999999999</v>
      </c>
      <c r="U5" s="27">
        <v>35085.300000000003</v>
      </c>
      <c r="V5" s="27">
        <v>40264</v>
      </c>
      <c r="W5" s="27">
        <v>46759</v>
      </c>
      <c r="X5" s="27">
        <v>51486</v>
      </c>
      <c r="Y5" s="27">
        <v>73304</v>
      </c>
      <c r="Z5" s="27">
        <v>92497</v>
      </c>
      <c r="AA5" s="27">
        <v>106014</v>
      </c>
      <c r="AB5" s="27">
        <v>115713</v>
      </c>
      <c r="AC5" s="27">
        <v>138677.71110816658</v>
      </c>
    </row>
    <row r="6" spans="1:29" ht="27.75" x14ac:dyDescent="0.65">
      <c r="B6" t="s">
        <v>39</v>
      </c>
      <c r="D6" s="3" t="s">
        <v>64</v>
      </c>
      <c r="E6" s="23" t="s">
        <v>61</v>
      </c>
      <c r="F6">
        <v>5</v>
      </c>
      <c r="G6">
        <v>5</v>
      </c>
      <c r="H6">
        <v>2</v>
      </c>
      <c r="I6" s="5" t="s">
        <v>13</v>
      </c>
      <c r="J6" s="6" t="s">
        <v>40</v>
      </c>
      <c r="K6" s="27">
        <v>8231.1</v>
      </c>
      <c r="L6" s="27">
        <v>10213.299999999999</v>
      </c>
      <c r="M6" s="27">
        <v>13306.8</v>
      </c>
      <c r="N6" s="27">
        <v>14896.7</v>
      </c>
      <c r="O6" s="27">
        <v>17200.099999999999</v>
      </c>
      <c r="P6" s="27">
        <v>22292.6</v>
      </c>
      <c r="Q6" s="27">
        <v>24652.5</v>
      </c>
      <c r="R6" s="27">
        <v>27200.9</v>
      </c>
      <c r="S6" s="27">
        <v>30918.2</v>
      </c>
      <c r="T6" s="27">
        <v>34051.599999999999</v>
      </c>
      <c r="U6" s="27">
        <v>35085.300000000003</v>
      </c>
      <c r="V6" s="27">
        <v>40264</v>
      </c>
      <c r="W6" s="27">
        <v>46759</v>
      </c>
      <c r="X6" s="27">
        <v>51486</v>
      </c>
      <c r="Y6" s="25">
        <v>57196</v>
      </c>
      <c r="Z6" s="25">
        <v>74185</v>
      </c>
      <c r="AA6" s="27">
        <v>81637</v>
      </c>
      <c r="AB6" s="27">
        <v>91324</v>
      </c>
      <c r="AC6" s="27">
        <v>110537.33387034337</v>
      </c>
    </row>
    <row r="7" spans="1:29" ht="27.75" x14ac:dyDescent="0.65">
      <c r="B7" t="s">
        <v>39</v>
      </c>
      <c r="D7" s="3" t="s">
        <v>64</v>
      </c>
      <c r="E7" s="23" t="s">
        <v>61</v>
      </c>
      <c r="F7">
        <v>6</v>
      </c>
      <c r="G7">
        <v>6</v>
      </c>
      <c r="H7">
        <v>1</v>
      </c>
      <c r="I7" s="7" t="s">
        <v>14</v>
      </c>
      <c r="J7" s="6" t="s">
        <v>40</v>
      </c>
      <c r="K7" s="25">
        <v>2917.7</v>
      </c>
      <c r="L7" s="25">
        <v>4050.1</v>
      </c>
      <c r="M7" s="25">
        <v>3757.6</v>
      </c>
      <c r="N7" s="25">
        <v>4592.3999999999996</v>
      </c>
      <c r="O7" s="27">
        <v>4881</v>
      </c>
      <c r="P7" s="27">
        <v>5032.8999999999996</v>
      </c>
      <c r="Q7" s="27">
        <v>5162</v>
      </c>
      <c r="R7" s="27">
        <v>6493.6</v>
      </c>
      <c r="S7" s="27">
        <v>7005.8</v>
      </c>
      <c r="T7" s="27">
        <v>9101</v>
      </c>
      <c r="U7" s="27">
        <v>10581.7</v>
      </c>
      <c r="V7" s="27">
        <v>12129</v>
      </c>
      <c r="W7" s="27">
        <v>13544</v>
      </c>
      <c r="X7" s="27">
        <v>14588</v>
      </c>
      <c r="Y7" s="27">
        <v>16108</v>
      </c>
      <c r="Z7" s="27">
        <v>18312</v>
      </c>
      <c r="AA7" s="27">
        <v>24377</v>
      </c>
      <c r="AB7" s="27">
        <v>24388</v>
      </c>
      <c r="AC7" s="25">
        <v>28140.377237823202</v>
      </c>
    </row>
    <row r="8" spans="1:29" ht="27.75" x14ac:dyDescent="0.65">
      <c r="B8" t="s">
        <v>39</v>
      </c>
      <c r="D8" s="3" t="s">
        <v>64</v>
      </c>
      <c r="E8" s="23" t="s">
        <v>61</v>
      </c>
      <c r="F8">
        <v>7</v>
      </c>
      <c r="G8">
        <v>7</v>
      </c>
      <c r="I8" s="7" t="s">
        <v>15</v>
      </c>
      <c r="J8" s="6" t="s">
        <v>40</v>
      </c>
      <c r="K8" s="27">
        <v>8514.2999999999993</v>
      </c>
      <c r="L8" s="27">
        <v>10167.1</v>
      </c>
      <c r="M8" s="27">
        <v>12979.9</v>
      </c>
      <c r="N8" s="27">
        <v>13944.1</v>
      </c>
      <c r="O8" s="25">
        <v>16466.3</v>
      </c>
      <c r="P8" s="25">
        <v>19889.599999999999</v>
      </c>
      <c r="Q8" s="25">
        <v>23761.7</v>
      </c>
      <c r="R8" s="25">
        <v>24361.5</v>
      </c>
      <c r="S8" s="25">
        <v>20723.599999999999</v>
      </c>
      <c r="T8" s="25">
        <v>18325.2</v>
      </c>
      <c r="U8" s="25">
        <v>15632.9</v>
      </c>
      <c r="V8" s="25">
        <v>16645</v>
      </c>
      <c r="W8" s="25">
        <v>20553</v>
      </c>
      <c r="X8" s="25">
        <v>23867</v>
      </c>
      <c r="Y8" s="25">
        <v>15194</v>
      </c>
      <c r="Z8" s="25">
        <v>22552</v>
      </c>
      <c r="AA8" s="27">
        <v>27188</v>
      </c>
      <c r="AB8" s="27">
        <v>55313</v>
      </c>
      <c r="AC8" s="27">
        <v>49666.752599067528</v>
      </c>
    </row>
    <row r="9" spans="1:29" ht="27.75" x14ac:dyDescent="0.65">
      <c r="B9" t="s">
        <v>39</v>
      </c>
      <c r="D9" s="3" t="s">
        <v>64</v>
      </c>
      <c r="E9" s="23" t="s">
        <v>61</v>
      </c>
      <c r="F9">
        <v>8</v>
      </c>
      <c r="G9">
        <v>8</v>
      </c>
      <c r="I9" s="8" t="s">
        <v>62</v>
      </c>
      <c r="J9" s="6" t="s">
        <v>40</v>
      </c>
      <c r="K9" s="27">
        <v>26306.1</v>
      </c>
      <c r="L9" s="27">
        <v>31322.9</v>
      </c>
      <c r="M9" s="27">
        <v>37043.199999999997</v>
      </c>
      <c r="N9" s="27">
        <v>41655.699999999997</v>
      </c>
      <c r="O9" s="25">
        <v>47217.8</v>
      </c>
      <c r="P9" s="25">
        <v>57305</v>
      </c>
      <c r="Q9" s="25">
        <v>65105.5</v>
      </c>
      <c r="R9" s="25">
        <v>71328.800000000003</v>
      </c>
      <c r="S9" s="25">
        <v>71739.8</v>
      </c>
      <c r="T9" s="25">
        <v>74444.3</v>
      </c>
      <c r="U9" s="25">
        <v>75438.399999999994</v>
      </c>
      <c r="V9" s="25">
        <v>83932</v>
      </c>
      <c r="W9" s="25">
        <v>96450</v>
      </c>
      <c r="X9" s="25">
        <v>107366</v>
      </c>
      <c r="Y9" s="25">
        <v>111235</v>
      </c>
      <c r="Z9" s="25">
        <v>140750</v>
      </c>
      <c r="AA9" s="27">
        <v>155389</v>
      </c>
      <c r="AB9" s="27">
        <v>193940</v>
      </c>
      <c r="AC9" s="27">
        <v>213132.52508486653</v>
      </c>
    </row>
    <row r="10" spans="1:29" ht="27.75" x14ac:dyDescent="0.65">
      <c r="B10" t="s">
        <v>39</v>
      </c>
      <c r="D10" s="3" t="s">
        <v>64</v>
      </c>
      <c r="E10" s="23" t="s">
        <v>61</v>
      </c>
      <c r="F10">
        <v>9</v>
      </c>
      <c r="G10">
        <v>9</v>
      </c>
      <c r="H10">
        <v>8</v>
      </c>
      <c r="I10" s="5" t="s">
        <v>16</v>
      </c>
      <c r="J10" s="6" t="s">
        <v>40</v>
      </c>
      <c r="K10" s="27">
        <v>-301.39999999999998</v>
      </c>
      <c r="L10" s="27">
        <v>818.6</v>
      </c>
      <c r="M10" s="27">
        <v>-948.5</v>
      </c>
      <c r="N10" s="27">
        <v>-347.4</v>
      </c>
      <c r="O10" s="25">
        <v>908.3</v>
      </c>
      <c r="P10" s="25">
        <v>7081</v>
      </c>
      <c r="Q10" s="25">
        <v>19220.099999999999</v>
      </c>
      <c r="R10" s="25">
        <v>19665.2</v>
      </c>
      <c r="S10" s="25">
        <v>10805.5</v>
      </c>
      <c r="T10" s="25">
        <v>7254.3</v>
      </c>
      <c r="U10" s="25">
        <v>5639.8</v>
      </c>
      <c r="V10" s="25">
        <v>7800</v>
      </c>
      <c r="W10" s="25">
        <v>9347</v>
      </c>
      <c r="X10" s="25">
        <v>17784</v>
      </c>
      <c r="Y10" s="25">
        <v>27048</v>
      </c>
      <c r="Z10" s="25">
        <v>51428</v>
      </c>
      <c r="AA10" s="27">
        <v>52165</v>
      </c>
      <c r="AB10" s="27">
        <v>62321</v>
      </c>
      <c r="AC10" s="25">
        <v>57731.904520451091</v>
      </c>
    </row>
    <row r="11" spans="1:29" ht="27.75" x14ac:dyDescent="0.65">
      <c r="B11" t="s">
        <v>39</v>
      </c>
      <c r="D11" s="3" t="s">
        <v>64</v>
      </c>
      <c r="E11" s="23" t="s">
        <v>61</v>
      </c>
      <c r="F11">
        <v>10</v>
      </c>
      <c r="G11">
        <v>10</v>
      </c>
      <c r="H11">
        <v>9</v>
      </c>
      <c r="I11" s="5" t="s">
        <v>17</v>
      </c>
      <c r="J11" s="6" t="s">
        <v>40</v>
      </c>
      <c r="K11" s="27">
        <v>8233</v>
      </c>
      <c r="L11" s="27">
        <v>7796</v>
      </c>
      <c r="M11" s="27">
        <v>6940</v>
      </c>
      <c r="N11" s="27">
        <v>9560.9</v>
      </c>
      <c r="O11" s="27">
        <v>11187.2</v>
      </c>
      <c r="P11" s="27">
        <v>18331</v>
      </c>
      <c r="Q11" s="27">
        <v>29075.599999999999</v>
      </c>
      <c r="R11" s="27">
        <v>33258.1</v>
      </c>
      <c r="S11" s="27">
        <v>23843.3</v>
      </c>
      <c r="T11" s="27">
        <v>32323</v>
      </c>
      <c r="U11" s="27">
        <v>33900.6</v>
      </c>
      <c r="V11" s="27">
        <v>38181</v>
      </c>
      <c r="W11" s="27">
        <v>40050</v>
      </c>
      <c r="X11" s="27">
        <v>50236</v>
      </c>
      <c r="Y11" s="27">
        <v>65465</v>
      </c>
      <c r="Z11" s="27">
        <v>92224</v>
      </c>
      <c r="AA11" s="27">
        <v>80473</v>
      </c>
      <c r="AB11" s="27">
        <v>91973</v>
      </c>
      <c r="AC11" s="27">
        <v>90768.639798578733</v>
      </c>
    </row>
    <row r="12" spans="1:29" ht="27.75" x14ac:dyDescent="0.65">
      <c r="B12" t="s">
        <v>39</v>
      </c>
      <c r="D12" s="3" t="s">
        <v>64</v>
      </c>
      <c r="E12" s="23" t="s">
        <v>61</v>
      </c>
      <c r="F12">
        <v>11</v>
      </c>
      <c r="G12">
        <v>11</v>
      </c>
      <c r="H12">
        <v>9</v>
      </c>
      <c r="I12" s="5" t="s">
        <v>18</v>
      </c>
      <c r="J12" s="6" t="s">
        <v>40</v>
      </c>
      <c r="K12" s="25">
        <v>8534.4</v>
      </c>
      <c r="L12" s="25">
        <v>6977.4</v>
      </c>
      <c r="M12" s="25">
        <v>7888.5</v>
      </c>
      <c r="N12" s="25">
        <v>9908.2000000000007</v>
      </c>
      <c r="O12" s="27">
        <v>10278.9</v>
      </c>
      <c r="P12" s="27">
        <v>11250.1</v>
      </c>
      <c r="Q12" s="27">
        <v>12962.7</v>
      </c>
      <c r="R12" s="27">
        <v>13593</v>
      </c>
      <c r="S12" s="27">
        <v>13037.8</v>
      </c>
      <c r="T12" s="27">
        <v>25068.7</v>
      </c>
      <c r="U12" s="27">
        <v>28260.799999999999</v>
      </c>
      <c r="V12" s="27">
        <v>30381</v>
      </c>
      <c r="W12" s="27">
        <v>30702</v>
      </c>
      <c r="X12" s="27">
        <v>32452</v>
      </c>
      <c r="Y12" s="27">
        <v>38416</v>
      </c>
      <c r="Z12" s="27">
        <v>40796</v>
      </c>
      <c r="AA12" s="27">
        <v>28308</v>
      </c>
      <c r="AB12" s="27">
        <v>29653</v>
      </c>
      <c r="AC12" s="27">
        <v>33036.735278127599</v>
      </c>
    </row>
    <row r="13" spans="1:29" ht="27.75" x14ac:dyDescent="0.65">
      <c r="B13" t="s">
        <v>39</v>
      </c>
      <c r="D13" s="3" t="s">
        <v>64</v>
      </c>
      <c r="E13" s="23" t="s">
        <v>61</v>
      </c>
      <c r="F13">
        <v>12</v>
      </c>
      <c r="G13">
        <v>12</v>
      </c>
      <c r="H13">
        <v>8</v>
      </c>
      <c r="I13" s="5" t="s">
        <v>19</v>
      </c>
      <c r="J13" s="6" t="s">
        <v>40</v>
      </c>
      <c r="K13" s="27">
        <v>26607.5</v>
      </c>
      <c r="L13" s="27">
        <v>30504.3</v>
      </c>
      <c r="M13" s="27">
        <v>37991.599999999999</v>
      </c>
      <c r="N13" s="27">
        <v>42003.1</v>
      </c>
      <c r="O13" s="25">
        <v>46309.5</v>
      </c>
      <c r="P13" s="25">
        <v>50224</v>
      </c>
      <c r="Q13" s="25">
        <v>45885.4</v>
      </c>
      <c r="R13" s="25">
        <v>51663.5</v>
      </c>
      <c r="S13" s="25">
        <v>60934.3</v>
      </c>
      <c r="T13" s="25">
        <v>67190</v>
      </c>
      <c r="U13" s="25">
        <v>69798.600000000006</v>
      </c>
      <c r="V13" s="25">
        <v>76132</v>
      </c>
      <c r="W13" s="25">
        <v>87103</v>
      </c>
      <c r="X13" s="25">
        <v>89582</v>
      </c>
      <c r="Y13" s="25">
        <v>84186</v>
      </c>
      <c r="Z13" s="25">
        <v>89322</v>
      </c>
      <c r="AA13" s="27">
        <v>103224</v>
      </c>
      <c r="AB13" s="27">
        <v>131620</v>
      </c>
      <c r="AC13" s="25">
        <v>155400.62047324589</v>
      </c>
    </row>
    <row r="14" spans="1:29" ht="27.75" x14ac:dyDescent="0.65">
      <c r="B14" t="s">
        <v>39</v>
      </c>
      <c r="D14" s="3" t="s">
        <v>64</v>
      </c>
      <c r="E14" s="23" t="s">
        <v>61</v>
      </c>
      <c r="F14">
        <v>13</v>
      </c>
      <c r="G14">
        <v>13</v>
      </c>
      <c r="H14">
        <v>12</v>
      </c>
      <c r="I14" s="5" t="s">
        <v>20</v>
      </c>
      <c r="J14" s="6" t="s">
        <v>40</v>
      </c>
      <c r="K14" s="27">
        <v>15389.2</v>
      </c>
      <c r="L14" s="27">
        <v>18318.2</v>
      </c>
      <c r="M14" s="27">
        <v>23822.1</v>
      </c>
      <c r="N14" s="27">
        <v>24711.4</v>
      </c>
      <c r="O14" s="25">
        <v>28406.5</v>
      </c>
      <c r="P14" s="25">
        <v>31285.200000000001</v>
      </c>
      <c r="Q14" s="25">
        <v>35853.699999999997</v>
      </c>
      <c r="R14" s="25">
        <v>39840.400000000001</v>
      </c>
      <c r="S14" s="25">
        <v>44297.7</v>
      </c>
      <c r="T14" s="25">
        <v>51103.8</v>
      </c>
      <c r="U14" s="25">
        <v>55257.5</v>
      </c>
      <c r="V14" s="25">
        <v>59160</v>
      </c>
      <c r="W14" s="25">
        <v>70292</v>
      </c>
      <c r="X14" s="25">
        <v>78807</v>
      </c>
      <c r="Y14" s="25">
        <v>80877</v>
      </c>
      <c r="Z14" s="25">
        <v>91244</v>
      </c>
      <c r="AA14" s="27">
        <v>102648</v>
      </c>
      <c r="AB14" s="27">
        <v>108413</v>
      </c>
      <c r="AC14" s="27">
        <v>118050.96154090588</v>
      </c>
    </row>
    <row r="15" spans="1:29" ht="27.75" x14ac:dyDescent="0.65">
      <c r="B15" t="s">
        <v>39</v>
      </c>
      <c r="D15" s="3" t="s">
        <v>64</v>
      </c>
      <c r="E15" s="23" t="s">
        <v>61</v>
      </c>
      <c r="F15">
        <v>14</v>
      </c>
      <c r="G15">
        <v>14</v>
      </c>
      <c r="H15">
        <v>12</v>
      </c>
      <c r="I15" s="5" t="s">
        <v>21</v>
      </c>
      <c r="J15" s="6" t="s">
        <v>40</v>
      </c>
      <c r="K15" s="27">
        <v>11218.3</v>
      </c>
      <c r="L15" s="27">
        <v>12186.1</v>
      </c>
      <c r="M15" s="27">
        <v>14169.5</v>
      </c>
      <c r="N15" s="27">
        <v>17291.7</v>
      </c>
      <c r="O15" s="25">
        <v>17903</v>
      </c>
      <c r="P15" s="25">
        <v>18938.8</v>
      </c>
      <c r="Q15" s="25">
        <v>10031.700000000001</v>
      </c>
      <c r="R15" s="25">
        <v>11823.2</v>
      </c>
      <c r="S15" s="25">
        <v>16635.599999999999</v>
      </c>
      <c r="T15" s="25">
        <v>16086.2</v>
      </c>
      <c r="U15" s="25">
        <v>14541.1</v>
      </c>
      <c r="V15" s="25">
        <v>16972</v>
      </c>
      <c r="W15" s="25">
        <v>16811</v>
      </c>
      <c r="X15" s="25">
        <v>10775</v>
      </c>
      <c r="Y15" s="25">
        <v>3310</v>
      </c>
      <c r="Z15" s="25">
        <v>1922</v>
      </c>
      <c r="AA15" s="27">
        <v>577</v>
      </c>
      <c r="AB15" s="27">
        <v>23207</v>
      </c>
      <c r="AC15" s="27">
        <v>37349.658932340004</v>
      </c>
    </row>
    <row r="16" spans="1:29" ht="27.75" x14ac:dyDescent="0.65">
      <c r="B16" t="s">
        <v>39</v>
      </c>
      <c r="D16" s="3" t="s">
        <v>64</v>
      </c>
      <c r="E16" s="23" t="s">
        <v>61</v>
      </c>
      <c r="F16">
        <v>15</v>
      </c>
      <c r="G16">
        <v>15</v>
      </c>
      <c r="I16" s="8" t="s">
        <v>63</v>
      </c>
      <c r="J16" s="6" t="s">
        <v>40</v>
      </c>
      <c r="K16" s="27">
        <v>26698.5</v>
      </c>
      <c r="L16" s="27">
        <v>31705.200000000001</v>
      </c>
      <c r="M16" s="27">
        <v>37043.1</v>
      </c>
      <c r="N16" s="27">
        <v>41655.699999999997</v>
      </c>
      <c r="O16" s="25">
        <v>47217.8</v>
      </c>
      <c r="P16" s="25">
        <v>57305</v>
      </c>
      <c r="Q16" s="25">
        <v>65105.5</v>
      </c>
      <c r="R16" s="25">
        <v>71328.7</v>
      </c>
      <c r="S16" s="25">
        <v>71739.8</v>
      </c>
      <c r="T16" s="25">
        <v>74444.3</v>
      </c>
      <c r="U16" s="25">
        <v>75438.399999999994</v>
      </c>
      <c r="V16" s="25">
        <v>83932</v>
      </c>
      <c r="W16" s="25">
        <v>96450</v>
      </c>
      <c r="X16" s="25">
        <v>107366</v>
      </c>
      <c r="Y16" s="25">
        <v>111235</v>
      </c>
      <c r="Z16" s="25">
        <v>140750</v>
      </c>
      <c r="AA16" s="27">
        <v>155389</v>
      </c>
      <c r="AB16" s="27">
        <v>193940</v>
      </c>
      <c r="AC16" s="25">
        <v>213132.52499369695</v>
      </c>
    </row>
    <row r="17" spans="9:28" ht="27.75" x14ac:dyDescent="0.65">
      <c r="I17" s="9"/>
      <c r="J17" s="10"/>
      <c r="K17" s="10"/>
      <c r="L17" s="10"/>
      <c r="M17" s="10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9:28" ht="27.75" x14ac:dyDescent="0.65">
      <c r="J18" s="4"/>
      <c r="K18" s="10"/>
      <c r="L18" s="10"/>
      <c r="M18" s="10"/>
      <c r="N18" s="10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9:28" ht="26.25" x14ac:dyDescent="0.55000000000000004">
      <c r="K19" s="10"/>
      <c r="L19" s="10"/>
      <c r="M19" s="10"/>
      <c r="N19" s="10"/>
    </row>
    <row r="20" spans="9:28" ht="26.25" x14ac:dyDescent="0.55000000000000004">
      <c r="K20" s="10"/>
      <c r="L20" s="10"/>
      <c r="M20" s="10"/>
      <c r="N20" s="10"/>
    </row>
    <row r="21" spans="9:28" ht="26.25" x14ac:dyDescent="0.55000000000000004">
      <c r="K21" s="10"/>
      <c r="L21" s="10"/>
      <c r="M21" s="10"/>
      <c r="N21" s="10"/>
    </row>
    <row r="22" spans="9:28" ht="26.25" x14ac:dyDescent="0.55000000000000004">
      <c r="K22" s="10"/>
      <c r="L22" s="10"/>
      <c r="M22" s="10"/>
      <c r="N22" s="10"/>
    </row>
    <row r="23" spans="9:28" ht="26.25" x14ac:dyDescent="0.55000000000000004">
      <c r="K23" s="10"/>
      <c r="L23" s="10"/>
      <c r="M23" s="10"/>
      <c r="N23" s="10"/>
    </row>
    <row r="24" spans="9:28" ht="26.25" x14ac:dyDescent="0.55000000000000004">
      <c r="K24" s="10"/>
      <c r="L24" s="10"/>
      <c r="M24" s="10"/>
      <c r="N24" s="10"/>
    </row>
    <row r="25" spans="9:28" ht="26.25" x14ac:dyDescent="0.55000000000000004">
      <c r="K25" s="10"/>
      <c r="L25" s="10"/>
      <c r="M25" s="10"/>
      <c r="N25" s="10"/>
    </row>
    <row r="26" spans="9:28" ht="26.25" x14ac:dyDescent="0.55000000000000004">
      <c r="K26" s="10"/>
      <c r="L26" s="10"/>
      <c r="M26" s="10"/>
      <c r="N26" s="10"/>
    </row>
    <row r="27" spans="9:28" ht="26.25" x14ac:dyDescent="0.55000000000000004">
      <c r="K27" s="10"/>
      <c r="L27" s="10"/>
      <c r="M27" s="10"/>
      <c r="N27" s="10"/>
    </row>
    <row r="28" spans="9:28" ht="26.25" x14ac:dyDescent="0.55000000000000004">
      <c r="K28" s="10"/>
      <c r="L28" s="10"/>
      <c r="M28" s="10"/>
      <c r="N28" s="10"/>
    </row>
    <row r="29" spans="9:28" ht="26.25" x14ac:dyDescent="0.55000000000000004">
      <c r="K29" s="10"/>
      <c r="L29" s="10"/>
      <c r="M29" s="10"/>
      <c r="N29" s="10"/>
    </row>
    <row r="30" spans="9:28" ht="26.25" x14ac:dyDescent="0.55000000000000004">
      <c r="K30" s="10"/>
      <c r="L30" s="10"/>
      <c r="M30" s="10"/>
      <c r="N30" s="10"/>
    </row>
    <row r="31" spans="9:28" ht="26.25" x14ac:dyDescent="0.55000000000000004">
      <c r="K31" s="10"/>
      <c r="L31" s="10"/>
      <c r="M31" s="10"/>
      <c r="N31" s="10"/>
    </row>
    <row r="32" spans="9:28" ht="26.25" x14ac:dyDescent="0.55000000000000004">
      <c r="K32" s="10"/>
      <c r="L32" s="10"/>
      <c r="M32" s="10"/>
      <c r="N32" s="10"/>
    </row>
    <row r="33" spans="11:14" ht="26.25" x14ac:dyDescent="0.55000000000000004">
      <c r="K33" s="10"/>
      <c r="L33" s="10"/>
      <c r="M33" s="10"/>
      <c r="N33" s="10"/>
    </row>
    <row r="34" spans="11:14" ht="26.25" x14ac:dyDescent="0.55000000000000004">
      <c r="K34" s="10"/>
      <c r="L34" s="10"/>
      <c r="M34" s="10"/>
      <c r="N34" s="10"/>
    </row>
    <row r="35" spans="11:14" ht="26.25" x14ac:dyDescent="0.55000000000000004">
      <c r="K35" s="10"/>
      <c r="L35" s="10"/>
      <c r="M35" s="10"/>
      <c r="N3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FBFC-6BAE-4284-ACBD-813102A40442}">
  <sheetPr>
    <tabColor theme="6"/>
  </sheetPr>
  <dimension ref="A1:AN28"/>
  <sheetViews>
    <sheetView tabSelected="1" zoomScale="55" workbookViewId="0">
      <selection activeCell="I6" sqref="I6"/>
    </sheetView>
  </sheetViews>
  <sheetFormatPr baseColWidth="10" defaultRowHeight="15" x14ac:dyDescent="0.25"/>
  <cols>
    <col min="9" max="9" width="39.7109375" customWidth="1"/>
    <col min="10" max="21" width="38.7109375" customWidth="1"/>
    <col min="22" max="22" width="15.85546875" customWidth="1"/>
    <col min="23" max="23" width="16" customWidth="1"/>
    <col min="24" max="24" width="20.28515625" customWidth="1"/>
    <col min="25" max="25" width="15.42578125" customWidth="1"/>
    <col min="26" max="38" width="14" bestFit="1" customWidth="1"/>
    <col min="39" max="39" width="15.42578125" bestFit="1" customWidth="1"/>
    <col min="40" max="40" width="16.28515625" bestFit="1" customWidth="1"/>
  </cols>
  <sheetData>
    <row r="1" spans="1:40" ht="3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2">
        <v>2010</v>
      </c>
      <c r="AA1" s="12">
        <v>2011</v>
      </c>
      <c r="AB1" s="12">
        <v>2012</v>
      </c>
      <c r="AC1" s="12">
        <v>2013</v>
      </c>
      <c r="AD1" s="12">
        <v>2014</v>
      </c>
      <c r="AE1" s="12">
        <v>2015</v>
      </c>
      <c r="AF1" s="12">
        <v>2016</v>
      </c>
      <c r="AG1" s="12">
        <v>2017</v>
      </c>
      <c r="AH1" s="12">
        <v>2018</v>
      </c>
      <c r="AI1" s="12">
        <v>2019</v>
      </c>
      <c r="AJ1" s="12">
        <v>2020</v>
      </c>
      <c r="AK1" s="12">
        <v>2021</v>
      </c>
      <c r="AL1" s="12">
        <v>2022</v>
      </c>
      <c r="AM1" s="12">
        <v>2023</v>
      </c>
      <c r="AN1" s="12">
        <v>2024</v>
      </c>
    </row>
    <row r="2" spans="1:40" ht="27.75" x14ac:dyDescent="0.65">
      <c r="B2" t="s">
        <v>39</v>
      </c>
      <c r="D2" s="13" t="s">
        <v>67</v>
      </c>
      <c r="E2" s="22" t="s">
        <v>61</v>
      </c>
      <c r="F2">
        <v>1</v>
      </c>
      <c r="G2">
        <v>1</v>
      </c>
      <c r="I2" s="15" t="s">
        <v>41</v>
      </c>
      <c r="J2" s="16" t="s">
        <v>40</v>
      </c>
      <c r="K2" s="24">
        <v>2733.5</v>
      </c>
      <c r="L2" s="24">
        <v>3353.6</v>
      </c>
      <c r="M2" s="24">
        <v>4625.1000000000004</v>
      </c>
      <c r="N2" s="24">
        <v>4653</v>
      </c>
      <c r="O2" s="24">
        <v>5201.7</v>
      </c>
      <c r="P2" s="24">
        <v>5976.2</v>
      </c>
      <c r="Q2" s="24">
        <v>6485.5</v>
      </c>
      <c r="R2" s="24">
        <v>8486.2000000000007</v>
      </c>
      <c r="S2" s="24">
        <v>10633.3</v>
      </c>
      <c r="T2" s="24">
        <v>11930.7</v>
      </c>
      <c r="U2" s="24">
        <v>12547.2</v>
      </c>
      <c r="V2" s="24">
        <v>13758</v>
      </c>
      <c r="W2" s="24">
        <v>17071.3</v>
      </c>
      <c r="X2" s="24">
        <v>21067.800000000003</v>
      </c>
      <c r="Y2" s="24">
        <v>21631.9</v>
      </c>
      <c r="Z2" s="24">
        <v>25202.800000000003</v>
      </c>
      <c r="AA2" s="24">
        <v>27933.100000000002</v>
      </c>
      <c r="AB2" s="24">
        <v>31790.799999999996</v>
      </c>
      <c r="AC2" s="24">
        <v>37039</v>
      </c>
      <c r="AD2" s="24">
        <v>41485.199999999997</v>
      </c>
      <c r="AE2" s="24">
        <v>45959.8</v>
      </c>
      <c r="AF2" s="24">
        <v>51615.6</v>
      </c>
      <c r="AG2" s="24">
        <v>56763.5</v>
      </c>
      <c r="AH2" s="24">
        <v>64621</v>
      </c>
      <c r="AI2" s="24">
        <v>73644</v>
      </c>
      <c r="AJ2" s="24">
        <v>75147</v>
      </c>
      <c r="AK2" s="24">
        <v>86531</v>
      </c>
      <c r="AL2" s="24">
        <v>98384</v>
      </c>
      <c r="AM2" s="24">
        <v>100302.15</v>
      </c>
      <c r="AN2" s="24">
        <v>109962.83974700001</v>
      </c>
    </row>
    <row r="3" spans="1:40" ht="27.75" x14ac:dyDescent="0.65">
      <c r="B3" t="s">
        <v>39</v>
      </c>
      <c r="D3" s="13" t="s">
        <v>67</v>
      </c>
      <c r="E3" s="22" t="s">
        <v>61</v>
      </c>
      <c r="F3">
        <v>2</v>
      </c>
      <c r="G3">
        <v>2</v>
      </c>
      <c r="H3">
        <v>1</v>
      </c>
      <c r="I3" s="15" t="s">
        <v>22</v>
      </c>
      <c r="J3" s="16" t="s">
        <v>40</v>
      </c>
      <c r="K3" s="25">
        <v>951.5</v>
      </c>
      <c r="L3" s="25">
        <v>1236.8</v>
      </c>
      <c r="M3" s="25">
        <v>1262.5999999999999</v>
      </c>
      <c r="N3" s="25">
        <v>1342.6</v>
      </c>
      <c r="O3" s="25">
        <v>1507.5</v>
      </c>
      <c r="P3" s="25">
        <v>1440.3000000000002</v>
      </c>
      <c r="Q3" s="25">
        <v>1287.8999999999999</v>
      </c>
      <c r="R3" s="25">
        <v>1661.9</v>
      </c>
      <c r="S3" s="25">
        <v>1760.3</v>
      </c>
      <c r="T3" s="25">
        <v>2021.1000000000001</v>
      </c>
      <c r="U3" s="25">
        <v>2074.5</v>
      </c>
      <c r="V3" s="25">
        <v>2508.4</v>
      </c>
      <c r="W3" s="25">
        <v>2252.3000000000002</v>
      </c>
      <c r="X3" s="25">
        <v>2902.2</v>
      </c>
      <c r="Y3" s="25">
        <v>2255.1</v>
      </c>
      <c r="Z3" s="25">
        <v>2533.1</v>
      </c>
      <c r="AA3" s="25">
        <v>2130.8000000000002</v>
      </c>
      <c r="AB3" s="25">
        <v>1761.1</v>
      </c>
      <c r="AC3" s="25">
        <v>2283.4</v>
      </c>
      <c r="AD3" s="25">
        <v>3287.7</v>
      </c>
      <c r="AE3" s="25">
        <v>3828.6</v>
      </c>
      <c r="AF3" s="25">
        <v>4112.4000000000005</v>
      </c>
      <c r="AG3" s="25">
        <v>4828.3</v>
      </c>
      <c r="AH3" s="25">
        <v>5405</v>
      </c>
      <c r="AI3" s="25">
        <v>8896</v>
      </c>
      <c r="AJ3" s="25">
        <v>9181</v>
      </c>
      <c r="AK3" s="25">
        <v>14664</v>
      </c>
      <c r="AL3" s="25">
        <v>11525</v>
      </c>
      <c r="AM3" s="25">
        <v>10334.6</v>
      </c>
      <c r="AN3" s="25">
        <v>11528.580676</v>
      </c>
    </row>
    <row r="4" spans="1:40" ht="27.75" x14ac:dyDescent="0.65">
      <c r="B4" t="s">
        <v>39</v>
      </c>
      <c r="D4" s="13" t="s">
        <v>67</v>
      </c>
      <c r="E4" s="22" t="s">
        <v>61</v>
      </c>
      <c r="F4">
        <v>3</v>
      </c>
      <c r="G4">
        <v>3</v>
      </c>
      <c r="H4">
        <v>2</v>
      </c>
      <c r="I4" s="17" t="s">
        <v>23</v>
      </c>
      <c r="J4" s="16" t="s">
        <v>40</v>
      </c>
      <c r="K4" s="25">
        <v>37.200000000000003</v>
      </c>
      <c r="L4" s="25">
        <v>35.700000000000003</v>
      </c>
      <c r="M4" s="25">
        <v>13.5</v>
      </c>
      <c r="N4" s="25">
        <v>13.5</v>
      </c>
      <c r="O4" s="25">
        <v>106.4</v>
      </c>
      <c r="P4" s="25">
        <v>22.9</v>
      </c>
      <c r="Q4" s="25">
        <v>21.8</v>
      </c>
      <c r="R4" s="25">
        <v>143.69999999999999</v>
      </c>
      <c r="S4" s="25">
        <v>113.2</v>
      </c>
      <c r="T4" s="25">
        <v>129.4</v>
      </c>
      <c r="U4" s="25">
        <v>93.6</v>
      </c>
      <c r="V4" s="25">
        <v>121.9</v>
      </c>
      <c r="W4" s="25">
        <v>232.1</v>
      </c>
      <c r="X4" s="25">
        <v>403.1</v>
      </c>
      <c r="Y4" s="25">
        <v>316.89999999999998</v>
      </c>
      <c r="Z4" s="25">
        <v>308.60000000000002</v>
      </c>
      <c r="AA4" s="25">
        <v>348.4</v>
      </c>
      <c r="AB4" s="25">
        <v>270</v>
      </c>
      <c r="AC4" s="25">
        <v>364.6</v>
      </c>
      <c r="AD4" s="25">
        <v>340</v>
      </c>
      <c r="AE4" s="25">
        <v>343.2</v>
      </c>
      <c r="AF4" s="25">
        <v>343.6</v>
      </c>
      <c r="AG4" s="25">
        <v>602.1</v>
      </c>
      <c r="AH4" s="25">
        <v>593</v>
      </c>
      <c r="AI4" s="25">
        <v>831</v>
      </c>
      <c r="AJ4" s="25">
        <v>806</v>
      </c>
      <c r="AK4" s="25">
        <v>1913</v>
      </c>
      <c r="AL4" s="26">
        <v>1660</v>
      </c>
      <c r="AM4" s="26" t="s">
        <v>24</v>
      </c>
      <c r="AN4" s="26">
        <v>1297.9449990000001</v>
      </c>
    </row>
    <row r="5" spans="1:40" ht="27.75" x14ac:dyDescent="0.65">
      <c r="B5" t="s">
        <v>39</v>
      </c>
      <c r="D5" s="13" t="s">
        <v>67</v>
      </c>
      <c r="E5" s="22" t="s">
        <v>61</v>
      </c>
      <c r="F5">
        <v>4</v>
      </c>
      <c r="G5">
        <v>4</v>
      </c>
      <c r="H5">
        <v>2</v>
      </c>
      <c r="I5" s="17" t="s">
        <v>25</v>
      </c>
      <c r="J5" s="16" t="s">
        <v>40</v>
      </c>
      <c r="K5" s="25">
        <v>914.3</v>
      </c>
      <c r="L5" s="25">
        <v>1201.0999999999999</v>
      </c>
      <c r="M5" s="25">
        <v>1249.0999999999999</v>
      </c>
      <c r="N5" s="25">
        <v>1329.1</v>
      </c>
      <c r="O5" s="25">
        <v>1401.1</v>
      </c>
      <c r="P5" s="25">
        <v>1417.4</v>
      </c>
      <c r="Q5" s="25">
        <v>1266.0999999999999</v>
      </c>
      <c r="R5" s="25">
        <v>1518.2</v>
      </c>
      <c r="S5" s="25">
        <v>1647.1</v>
      </c>
      <c r="T5" s="25">
        <v>1891.7</v>
      </c>
      <c r="U5" s="25">
        <v>1980.9</v>
      </c>
      <c r="V5" s="25">
        <v>2386.5</v>
      </c>
      <c r="W5" s="25">
        <v>2020.2</v>
      </c>
      <c r="X5" s="25">
        <v>2499.1</v>
      </c>
      <c r="Y5" s="25">
        <v>1938.2</v>
      </c>
      <c r="Z5" s="25">
        <v>2224.5</v>
      </c>
      <c r="AA5" s="25">
        <v>1782.4</v>
      </c>
      <c r="AB5" s="25">
        <v>1491.1</v>
      </c>
      <c r="AC5" s="25">
        <v>1918.8</v>
      </c>
      <c r="AD5" s="25">
        <v>2947.7</v>
      </c>
      <c r="AE5" s="25">
        <v>3485.4</v>
      </c>
      <c r="AF5" s="25">
        <v>3768.8</v>
      </c>
      <c r="AG5" s="25">
        <v>4226.2</v>
      </c>
      <c r="AH5" s="25">
        <v>4812</v>
      </c>
      <c r="AI5" s="25">
        <v>8065</v>
      </c>
      <c r="AJ5" s="25">
        <v>8375</v>
      </c>
      <c r="AK5" s="25">
        <v>12751</v>
      </c>
      <c r="AL5" s="26">
        <v>9865</v>
      </c>
      <c r="AM5" s="26">
        <v>10334.6</v>
      </c>
      <c r="AN5" s="26">
        <v>10230.635677</v>
      </c>
    </row>
    <row r="6" spans="1:40" ht="27.75" x14ac:dyDescent="0.65">
      <c r="B6" t="s">
        <v>39</v>
      </c>
      <c r="D6" s="13" t="s">
        <v>67</v>
      </c>
      <c r="E6" s="22" t="s">
        <v>61</v>
      </c>
      <c r="F6">
        <v>5</v>
      </c>
      <c r="G6">
        <v>5</v>
      </c>
      <c r="H6">
        <v>1</v>
      </c>
      <c r="I6" s="15" t="s">
        <v>26</v>
      </c>
      <c r="J6" s="16" t="s">
        <v>40</v>
      </c>
      <c r="K6" s="25">
        <v>161.80000000000001</v>
      </c>
      <c r="L6" s="25">
        <v>336.7</v>
      </c>
      <c r="M6" s="25">
        <v>321.79999999999995</v>
      </c>
      <c r="N6" s="25">
        <v>364.6</v>
      </c>
      <c r="O6" s="25">
        <v>443.9</v>
      </c>
      <c r="P6" s="25">
        <v>528.09999999999991</v>
      </c>
      <c r="Q6" s="25">
        <v>622.29999999999995</v>
      </c>
      <c r="R6" s="25">
        <v>869.3</v>
      </c>
      <c r="S6" s="25">
        <v>1530.6</v>
      </c>
      <c r="T6" s="25">
        <v>1876.6</v>
      </c>
      <c r="U6" s="25">
        <v>2040.3</v>
      </c>
      <c r="V6" s="25">
        <v>2020.2</v>
      </c>
      <c r="W6" s="25">
        <v>3065.2999999999997</v>
      </c>
      <c r="X6" s="25">
        <v>3079</v>
      </c>
      <c r="Y6" s="25">
        <v>3194.3</v>
      </c>
      <c r="Z6" s="25">
        <v>3427</v>
      </c>
      <c r="AA6" s="25">
        <v>3381.9</v>
      </c>
      <c r="AB6" s="25">
        <v>4024.2999999999997</v>
      </c>
      <c r="AC6" s="25">
        <v>4868.8999999999996</v>
      </c>
      <c r="AD6" s="25">
        <v>6764.2999999999993</v>
      </c>
      <c r="AE6" s="25">
        <v>9432.7000000000007</v>
      </c>
      <c r="AF6" s="25">
        <v>11056</v>
      </c>
      <c r="AG6" s="25">
        <v>11794</v>
      </c>
      <c r="AH6" s="25">
        <v>13975</v>
      </c>
      <c r="AI6" s="25">
        <v>16479</v>
      </c>
      <c r="AJ6" s="25">
        <v>16684</v>
      </c>
      <c r="AK6" s="25">
        <v>14764</v>
      </c>
      <c r="AL6" s="25">
        <v>17372</v>
      </c>
      <c r="AM6" s="25">
        <v>15777.6</v>
      </c>
      <c r="AN6" s="25">
        <v>15233.887441999999</v>
      </c>
    </row>
    <row r="7" spans="1:40" ht="27.75" x14ac:dyDescent="0.65">
      <c r="B7" t="s">
        <v>39</v>
      </c>
      <c r="D7" s="13" t="s">
        <v>67</v>
      </c>
      <c r="E7" s="22" t="s">
        <v>61</v>
      </c>
      <c r="F7">
        <v>6</v>
      </c>
      <c r="G7">
        <v>6</v>
      </c>
      <c r="H7">
        <v>5</v>
      </c>
      <c r="I7" s="17" t="s">
        <v>27</v>
      </c>
      <c r="J7" s="16" t="s">
        <v>40</v>
      </c>
      <c r="K7" s="25">
        <v>25.8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>
        <v>9.4</v>
      </c>
      <c r="W7" s="25">
        <v>180.3</v>
      </c>
      <c r="X7" s="25">
        <v>0.8</v>
      </c>
      <c r="Y7" s="25">
        <v>0.6</v>
      </c>
      <c r="Z7" s="25">
        <v>9.8000000000000007</v>
      </c>
      <c r="AA7" s="25">
        <v>0.7</v>
      </c>
      <c r="AB7" s="25">
        <v>6.5</v>
      </c>
      <c r="AC7" s="25">
        <v>101.6</v>
      </c>
      <c r="AD7" s="25">
        <v>684.3</v>
      </c>
      <c r="AE7" s="25">
        <v>966.8</v>
      </c>
      <c r="AF7" s="25">
        <v>995.1</v>
      </c>
      <c r="AG7" s="25">
        <v>1128.5999999999999</v>
      </c>
      <c r="AH7" s="25">
        <v>1676</v>
      </c>
      <c r="AI7" s="25">
        <v>1228</v>
      </c>
      <c r="AJ7" s="25">
        <v>967</v>
      </c>
      <c r="AK7" s="25">
        <v>1223</v>
      </c>
      <c r="AL7" s="26">
        <v>2022</v>
      </c>
      <c r="AM7" s="26">
        <v>1506.6</v>
      </c>
      <c r="AN7" s="26">
        <v>1808.3472830000001</v>
      </c>
    </row>
    <row r="8" spans="1:40" ht="27.75" x14ac:dyDescent="0.65">
      <c r="B8" t="s">
        <v>39</v>
      </c>
      <c r="D8" s="13" t="s">
        <v>67</v>
      </c>
      <c r="E8" s="22" t="s">
        <v>61</v>
      </c>
      <c r="F8">
        <v>7</v>
      </c>
      <c r="G8">
        <v>7</v>
      </c>
      <c r="H8">
        <v>5</v>
      </c>
      <c r="I8" s="17" t="s">
        <v>28</v>
      </c>
      <c r="J8" s="16" t="s">
        <v>40</v>
      </c>
      <c r="K8" s="25">
        <v>70.3</v>
      </c>
      <c r="L8" s="25">
        <v>231.5</v>
      </c>
      <c r="M8" s="25">
        <v>214.2</v>
      </c>
      <c r="N8" s="25">
        <v>217</v>
      </c>
      <c r="O8" s="25">
        <v>245.5</v>
      </c>
      <c r="P8" s="25">
        <v>218.2</v>
      </c>
      <c r="Q8" s="25">
        <v>195</v>
      </c>
      <c r="R8" s="25">
        <v>321.2</v>
      </c>
      <c r="S8" s="25">
        <v>448.5</v>
      </c>
      <c r="T8" s="25">
        <v>428.5</v>
      </c>
      <c r="U8" s="25">
        <v>453.5</v>
      </c>
      <c r="V8" s="25">
        <v>364.9</v>
      </c>
      <c r="W8" s="25">
        <v>554.79999999999995</v>
      </c>
      <c r="X8" s="25">
        <v>657.1</v>
      </c>
      <c r="Y8" s="25">
        <v>741.2</v>
      </c>
      <c r="Z8" s="25">
        <v>1059.4000000000001</v>
      </c>
      <c r="AA8" s="25">
        <v>786.1</v>
      </c>
      <c r="AB8" s="25">
        <v>777.6</v>
      </c>
      <c r="AC8" s="25">
        <v>1282.7</v>
      </c>
      <c r="AD8" s="25">
        <v>1279.8</v>
      </c>
      <c r="AE8" s="25">
        <v>2170.4</v>
      </c>
      <c r="AF8" s="25">
        <v>2931.8</v>
      </c>
      <c r="AG8" s="25">
        <v>3181.3</v>
      </c>
      <c r="AH8" s="25">
        <v>4240</v>
      </c>
      <c r="AI8" s="25">
        <v>6408</v>
      </c>
      <c r="AJ8" s="25">
        <v>6148</v>
      </c>
      <c r="AK8" s="25">
        <v>5269</v>
      </c>
      <c r="AL8" s="26">
        <v>6518</v>
      </c>
      <c r="AM8" s="26">
        <v>5503</v>
      </c>
      <c r="AN8" s="26">
        <v>4814.7589040000003</v>
      </c>
    </row>
    <row r="9" spans="1:40" ht="27.75" x14ac:dyDescent="0.65">
      <c r="B9" t="s">
        <v>39</v>
      </c>
      <c r="D9" s="13" t="s">
        <v>67</v>
      </c>
      <c r="E9" s="22" t="s">
        <v>61</v>
      </c>
      <c r="F9">
        <v>8</v>
      </c>
      <c r="G9">
        <v>8</v>
      </c>
      <c r="H9">
        <v>5</v>
      </c>
      <c r="I9" s="17" t="s">
        <v>29</v>
      </c>
      <c r="J9" s="16" t="s">
        <v>40</v>
      </c>
      <c r="K9" s="25">
        <v>65.7</v>
      </c>
      <c r="L9" s="25">
        <v>105.2</v>
      </c>
      <c r="M9" s="25">
        <v>107.6</v>
      </c>
      <c r="N9" s="25">
        <v>147.6</v>
      </c>
      <c r="O9" s="25">
        <v>198.4</v>
      </c>
      <c r="P9" s="25">
        <v>309.89999999999998</v>
      </c>
      <c r="Q9" s="25">
        <v>427.3</v>
      </c>
      <c r="R9" s="25">
        <v>548.1</v>
      </c>
      <c r="S9" s="25">
        <v>1082.0999999999999</v>
      </c>
      <c r="T9" s="25">
        <v>1448.1</v>
      </c>
      <c r="U9" s="25">
        <v>1586.8</v>
      </c>
      <c r="V9" s="25">
        <v>1645.9</v>
      </c>
      <c r="W9" s="25">
        <v>2330.1999999999998</v>
      </c>
      <c r="X9" s="25">
        <v>2421.1</v>
      </c>
      <c r="Y9" s="25">
        <v>2452.5</v>
      </c>
      <c r="Z9" s="25">
        <v>2357.8000000000002</v>
      </c>
      <c r="AA9" s="25">
        <v>2595.1</v>
      </c>
      <c r="AB9" s="25">
        <v>3240.2</v>
      </c>
      <c r="AC9" s="25">
        <v>3484.6</v>
      </c>
      <c r="AD9" s="25">
        <v>4800.2</v>
      </c>
      <c r="AE9" s="25">
        <v>6295.5</v>
      </c>
      <c r="AF9" s="25">
        <v>7129.1</v>
      </c>
      <c r="AG9" s="25">
        <v>7484.1</v>
      </c>
      <c r="AH9" s="25">
        <v>8059</v>
      </c>
      <c r="AI9" s="25">
        <v>8843</v>
      </c>
      <c r="AJ9" s="25">
        <v>9569</v>
      </c>
      <c r="AK9" s="25">
        <v>8272</v>
      </c>
      <c r="AL9" s="26">
        <v>8832</v>
      </c>
      <c r="AM9" s="26">
        <v>8768</v>
      </c>
      <c r="AN9" s="26">
        <v>8610.7812549999999</v>
      </c>
    </row>
    <row r="10" spans="1:40" ht="27.75" x14ac:dyDescent="0.65">
      <c r="B10" t="s">
        <v>39</v>
      </c>
      <c r="D10" s="13" t="s">
        <v>67</v>
      </c>
      <c r="E10" s="22" t="s">
        <v>61</v>
      </c>
      <c r="F10">
        <v>9</v>
      </c>
      <c r="G10">
        <v>9</v>
      </c>
      <c r="H10">
        <v>1</v>
      </c>
      <c r="I10" s="15" t="s">
        <v>30</v>
      </c>
      <c r="J10" s="16" t="s">
        <v>40</v>
      </c>
      <c r="K10" s="25">
        <v>890.5</v>
      </c>
      <c r="L10" s="25">
        <v>1305</v>
      </c>
      <c r="M10" s="25">
        <v>2494.6</v>
      </c>
      <c r="N10" s="25">
        <v>2367.1999999999998</v>
      </c>
      <c r="O10" s="25">
        <v>2503.7999999999997</v>
      </c>
      <c r="P10" s="25">
        <v>3142.1</v>
      </c>
      <c r="Q10" s="25">
        <v>3661</v>
      </c>
      <c r="R10" s="25">
        <v>4883.5</v>
      </c>
      <c r="S10" s="25">
        <v>5783</v>
      </c>
      <c r="T10" s="25">
        <v>6086.5</v>
      </c>
      <c r="U10" s="25">
        <v>6156.8</v>
      </c>
      <c r="V10" s="25">
        <v>7123.4</v>
      </c>
      <c r="W10" s="25">
        <v>8762.6</v>
      </c>
      <c r="X10" s="25">
        <v>10921.400000000001</v>
      </c>
      <c r="Y10" s="25">
        <v>10204.1</v>
      </c>
      <c r="Z10" s="25">
        <v>11377.2</v>
      </c>
      <c r="AA10" s="25">
        <v>11375.2</v>
      </c>
      <c r="AB10" s="25">
        <v>13682.8</v>
      </c>
      <c r="AC10" s="25">
        <v>12424.5</v>
      </c>
      <c r="AD10" s="25">
        <v>11910</v>
      </c>
      <c r="AE10" s="25">
        <v>15788.2</v>
      </c>
      <c r="AF10" s="25">
        <v>19128.8</v>
      </c>
      <c r="AG10" s="25">
        <v>21561.5</v>
      </c>
      <c r="AH10" s="25">
        <v>24834</v>
      </c>
      <c r="AI10" s="25">
        <v>23279</v>
      </c>
      <c r="AJ10" s="25">
        <v>22322</v>
      </c>
      <c r="AK10" s="25">
        <v>29366</v>
      </c>
      <c r="AL10" s="25">
        <v>32387</v>
      </c>
      <c r="AM10" s="25">
        <v>30797.85</v>
      </c>
      <c r="AN10" s="25">
        <v>38870.196758999999</v>
      </c>
    </row>
    <row r="11" spans="1:40" ht="27.75" x14ac:dyDescent="0.65">
      <c r="B11" t="s">
        <v>39</v>
      </c>
      <c r="D11" s="13" t="s">
        <v>67</v>
      </c>
      <c r="E11" s="22" t="s">
        <v>61</v>
      </c>
      <c r="F11">
        <v>10</v>
      </c>
      <c r="G11">
        <v>10</v>
      </c>
      <c r="H11">
        <v>9</v>
      </c>
      <c r="I11" s="17" t="s">
        <v>31</v>
      </c>
      <c r="J11" s="16" t="s">
        <v>40</v>
      </c>
      <c r="K11" s="25">
        <v>634</v>
      </c>
      <c r="L11" s="25">
        <v>905.3</v>
      </c>
      <c r="M11" s="25">
        <v>2007.2</v>
      </c>
      <c r="N11" s="25">
        <v>1907.2</v>
      </c>
      <c r="O11" s="25">
        <v>2037.1</v>
      </c>
      <c r="P11" s="25">
        <v>2438.9</v>
      </c>
      <c r="Q11" s="25">
        <v>2686.1</v>
      </c>
      <c r="R11" s="25">
        <v>3239.1</v>
      </c>
      <c r="S11" s="25">
        <v>3248.9</v>
      </c>
      <c r="T11" s="25">
        <v>3391.2</v>
      </c>
      <c r="U11" s="25">
        <v>2988.3</v>
      </c>
      <c r="V11" s="25">
        <v>3560.8</v>
      </c>
      <c r="W11" s="25">
        <v>4306.3</v>
      </c>
      <c r="X11" s="25">
        <v>6742.1</v>
      </c>
      <c r="Y11" s="25">
        <v>5386.1</v>
      </c>
      <c r="Z11" s="25">
        <v>5925.6</v>
      </c>
      <c r="AA11" s="25">
        <v>6378.1</v>
      </c>
      <c r="AB11" s="25">
        <v>8663.4</v>
      </c>
      <c r="AC11" s="25">
        <v>6538.1</v>
      </c>
      <c r="AD11" s="25">
        <v>6421.2</v>
      </c>
      <c r="AE11" s="25">
        <v>7930.6</v>
      </c>
      <c r="AF11" s="25">
        <v>8104.5</v>
      </c>
      <c r="AG11" s="25">
        <v>10305.1</v>
      </c>
      <c r="AH11" s="25">
        <v>11713</v>
      </c>
      <c r="AI11" s="25">
        <v>11662</v>
      </c>
      <c r="AJ11" s="25">
        <v>10556</v>
      </c>
      <c r="AK11" s="25">
        <v>2325</v>
      </c>
      <c r="AL11" s="26">
        <v>14563</v>
      </c>
      <c r="AM11" s="26">
        <v>13661.4</v>
      </c>
      <c r="AN11" s="26">
        <v>19666.064565000001</v>
      </c>
    </row>
    <row r="12" spans="1:40" ht="27.75" x14ac:dyDescent="0.65">
      <c r="B12" t="s">
        <v>39</v>
      </c>
      <c r="D12" s="13" t="s">
        <v>67</v>
      </c>
      <c r="E12" s="22" t="s">
        <v>61</v>
      </c>
      <c r="F12">
        <v>11</v>
      </c>
      <c r="G12">
        <v>11</v>
      </c>
      <c r="H12">
        <v>9</v>
      </c>
      <c r="I12" s="17" t="s">
        <v>32</v>
      </c>
      <c r="J12" s="16" t="s">
        <v>40</v>
      </c>
      <c r="K12" s="25">
        <v>74.900000000000006</v>
      </c>
      <c r="L12" s="25">
        <v>87.7</v>
      </c>
      <c r="M12" s="25">
        <v>96</v>
      </c>
      <c r="N12" s="25">
        <v>89.5</v>
      </c>
      <c r="O12" s="25">
        <v>82.6</v>
      </c>
      <c r="P12" s="25">
        <v>102.2</v>
      </c>
      <c r="Q12" s="25">
        <v>180</v>
      </c>
      <c r="R12" s="25">
        <v>174.2</v>
      </c>
      <c r="S12" s="25">
        <v>276.3</v>
      </c>
      <c r="T12" s="25">
        <v>270.2</v>
      </c>
      <c r="U12" s="25">
        <v>590.9</v>
      </c>
      <c r="V12" s="25">
        <v>402.1</v>
      </c>
      <c r="W12" s="25">
        <v>575.6</v>
      </c>
      <c r="X12" s="25">
        <v>836.8</v>
      </c>
      <c r="Y12" s="25">
        <v>687.3</v>
      </c>
      <c r="Z12" s="25">
        <v>806</v>
      </c>
      <c r="AA12" s="25">
        <v>726.4</v>
      </c>
      <c r="AB12" s="25">
        <v>858.2</v>
      </c>
      <c r="AC12" s="25">
        <v>1292.5</v>
      </c>
      <c r="AD12" s="25">
        <v>1161</v>
      </c>
      <c r="AE12" s="25">
        <v>1080.9000000000001</v>
      </c>
      <c r="AF12" s="25">
        <v>1411.5</v>
      </c>
      <c r="AG12" s="25">
        <v>1710</v>
      </c>
      <c r="AH12" s="25">
        <v>1898</v>
      </c>
      <c r="AI12" s="25">
        <v>1847</v>
      </c>
      <c r="AJ12" s="25">
        <v>1874</v>
      </c>
      <c r="AK12" s="25">
        <v>14214</v>
      </c>
      <c r="AL12" s="26">
        <v>2007</v>
      </c>
      <c r="AM12" s="26">
        <v>1780.8</v>
      </c>
      <c r="AN12" s="26">
        <v>1866.1234360000001</v>
      </c>
    </row>
    <row r="13" spans="1:40" ht="27.75" x14ac:dyDescent="0.65">
      <c r="B13" t="s">
        <v>39</v>
      </c>
      <c r="D13" s="13" t="s">
        <v>67</v>
      </c>
      <c r="E13" s="22" t="s">
        <v>61</v>
      </c>
      <c r="F13">
        <v>12</v>
      </c>
      <c r="G13">
        <v>12</v>
      </c>
      <c r="H13">
        <v>9</v>
      </c>
      <c r="I13" s="17" t="s">
        <v>33</v>
      </c>
      <c r="J13" s="16" t="s">
        <v>40</v>
      </c>
      <c r="K13" s="25">
        <v>181.6</v>
      </c>
      <c r="L13" s="25">
        <v>312</v>
      </c>
      <c r="M13" s="25">
        <v>391.4</v>
      </c>
      <c r="N13" s="25">
        <v>370.5</v>
      </c>
      <c r="O13" s="25">
        <v>384.1</v>
      </c>
      <c r="P13" s="25">
        <v>601</v>
      </c>
      <c r="Q13" s="25">
        <v>794.9</v>
      </c>
      <c r="R13" s="25">
        <v>1470.2</v>
      </c>
      <c r="S13" s="25">
        <v>2257.8000000000002</v>
      </c>
      <c r="T13" s="25">
        <v>2425.1</v>
      </c>
      <c r="U13" s="25">
        <v>2577.6</v>
      </c>
      <c r="V13" s="25">
        <v>3160.5</v>
      </c>
      <c r="W13" s="25">
        <v>3880.7</v>
      </c>
      <c r="X13" s="25">
        <v>3342.5</v>
      </c>
      <c r="Y13" s="25">
        <v>4130.7</v>
      </c>
      <c r="Z13" s="25">
        <v>4645.6000000000004</v>
      </c>
      <c r="AA13" s="25">
        <v>4270.7</v>
      </c>
      <c r="AB13" s="25">
        <v>4161.2</v>
      </c>
      <c r="AC13" s="25">
        <v>4593.8999999999996</v>
      </c>
      <c r="AD13" s="25">
        <v>4327.8</v>
      </c>
      <c r="AE13" s="25">
        <v>6776.7</v>
      </c>
      <c r="AF13" s="25">
        <v>9612.7999999999993</v>
      </c>
      <c r="AG13" s="25">
        <v>9546.4</v>
      </c>
      <c r="AH13" s="25">
        <v>11223</v>
      </c>
      <c r="AI13" s="25">
        <v>9770</v>
      </c>
      <c r="AJ13" s="25">
        <v>9892</v>
      </c>
      <c r="AK13" s="25">
        <v>12827</v>
      </c>
      <c r="AL13" s="26">
        <v>15817</v>
      </c>
      <c r="AM13" s="26">
        <v>15355.65</v>
      </c>
      <c r="AN13" s="26">
        <v>17338.008758</v>
      </c>
    </row>
    <row r="14" spans="1:40" ht="27.75" x14ac:dyDescent="0.65">
      <c r="B14" t="s">
        <v>39</v>
      </c>
      <c r="D14" s="13" t="s">
        <v>67</v>
      </c>
      <c r="E14" s="22" t="s">
        <v>61</v>
      </c>
      <c r="F14">
        <v>13</v>
      </c>
      <c r="G14">
        <v>13</v>
      </c>
      <c r="H14">
        <v>1</v>
      </c>
      <c r="I14" s="15" t="s">
        <v>34</v>
      </c>
      <c r="J14" s="16" t="s">
        <v>40</v>
      </c>
      <c r="K14" s="25">
        <v>729.7</v>
      </c>
      <c r="L14" s="25">
        <v>475.1</v>
      </c>
      <c r="M14" s="25">
        <v>546.1</v>
      </c>
      <c r="N14" s="25">
        <v>578.6</v>
      </c>
      <c r="O14" s="25">
        <v>746.5</v>
      </c>
      <c r="P14" s="25">
        <v>865.7</v>
      </c>
      <c r="Q14" s="25">
        <v>914.3</v>
      </c>
      <c r="R14" s="25">
        <v>1071.5</v>
      </c>
      <c r="S14" s="25">
        <v>1559.4</v>
      </c>
      <c r="T14" s="25">
        <v>1946.5</v>
      </c>
      <c r="U14" s="25">
        <v>2275.6</v>
      </c>
      <c r="V14" s="25">
        <v>2106</v>
      </c>
      <c r="W14" s="25">
        <v>2991.1</v>
      </c>
      <c r="X14" s="25">
        <v>4165.2</v>
      </c>
      <c r="Y14" s="25">
        <v>5978.4</v>
      </c>
      <c r="Z14" s="25">
        <v>7865.5</v>
      </c>
      <c r="AA14" s="25">
        <v>11045.2</v>
      </c>
      <c r="AB14" s="25">
        <v>12322.6</v>
      </c>
      <c r="AC14" s="25">
        <v>17462.2</v>
      </c>
      <c r="AD14" s="25">
        <v>19523.2</v>
      </c>
      <c r="AE14" s="25">
        <v>16910.3</v>
      </c>
      <c r="AF14" s="25">
        <v>17318.400000000001</v>
      </c>
      <c r="AG14" s="25">
        <v>18579.7</v>
      </c>
      <c r="AH14" s="25">
        <v>20407</v>
      </c>
      <c r="AI14" s="25">
        <v>24990</v>
      </c>
      <c r="AJ14" s="25">
        <v>26960</v>
      </c>
      <c r="AK14" s="25">
        <v>27737</v>
      </c>
      <c r="AL14" s="26">
        <v>37100</v>
      </c>
      <c r="AM14" s="26">
        <v>43392.1</v>
      </c>
      <c r="AN14" s="26">
        <v>44330.174870000003</v>
      </c>
    </row>
    <row r="15" spans="1:40" ht="27.75" x14ac:dyDescent="0.65"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40" ht="27.75" x14ac:dyDescent="0.65"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22:25" ht="26.25" x14ac:dyDescent="0.55000000000000004">
      <c r="V17" s="10"/>
      <c r="W17" s="10"/>
      <c r="X17" s="10"/>
      <c r="Y17" s="10"/>
    </row>
    <row r="18" spans="22:25" ht="26.25" x14ac:dyDescent="0.55000000000000004">
      <c r="V18" s="10"/>
      <c r="W18" s="10"/>
      <c r="X18" s="10"/>
      <c r="Y18" s="10"/>
    </row>
    <row r="19" spans="22:25" ht="26.25" x14ac:dyDescent="0.55000000000000004">
      <c r="V19" s="10"/>
      <c r="W19" s="10"/>
      <c r="X19" s="10"/>
      <c r="Y19" s="10"/>
    </row>
    <row r="20" spans="22:25" ht="26.25" x14ac:dyDescent="0.55000000000000004">
      <c r="V20" s="10"/>
      <c r="W20" s="10"/>
      <c r="X20" s="10"/>
      <c r="Y20" s="10"/>
    </row>
    <row r="21" spans="22:25" ht="26.25" x14ac:dyDescent="0.55000000000000004">
      <c r="V21" s="10"/>
      <c r="W21" s="10"/>
      <c r="X21" s="10"/>
      <c r="Y21" s="10"/>
    </row>
    <row r="22" spans="22:25" ht="26.25" x14ac:dyDescent="0.55000000000000004">
      <c r="V22" s="10"/>
      <c r="W22" s="10"/>
      <c r="X22" s="10"/>
      <c r="Y22" s="10"/>
    </row>
    <row r="23" spans="22:25" ht="26.25" x14ac:dyDescent="0.55000000000000004">
      <c r="V23" s="10"/>
      <c r="W23" s="10"/>
      <c r="X23" s="10"/>
      <c r="Y23" s="10"/>
    </row>
    <row r="24" spans="22:25" ht="26.25" x14ac:dyDescent="0.55000000000000004">
      <c r="V24" s="10"/>
      <c r="W24" s="10"/>
      <c r="X24" s="10"/>
      <c r="Y24" s="10"/>
    </row>
    <row r="25" spans="22:25" ht="26.25" x14ac:dyDescent="0.55000000000000004">
      <c r="V25" s="10"/>
      <c r="W25" s="10"/>
      <c r="X25" s="10"/>
      <c r="Y25" s="10"/>
    </row>
    <row r="26" spans="22:25" ht="26.25" x14ac:dyDescent="0.55000000000000004">
      <c r="V26" s="10"/>
      <c r="W26" s="10"/>
      <c r="X26" s="10"/>
      <c r="Y26" s="10"/>
    </row>
    <row r="27" spans="22:25" ht="26.25" x14ac:dyDescent="0.55000000000000004">
      <c r="V27" s="10"/>
      <c r="W27" s="10"/>
      <c r="X27" s="10"/>
      <c r="Y27" s="10"/>
    </row>
    <row r="28" spans="22:25" ht="26.25" x14ac:dyDescent="0.55000000000000004">
      <c r="V28" s="10"/>
      <c r="W28" s="10"/>
      <c r="X28" s="10"/>
      <c r="Y28" s="10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B5A4-AA84-4AD2-896B-8BF5BC99A2C1}">
  <sheetPr>
    <tabColor rgb="FF92D050"/>
  </sheetPr>
  <dimension ref="A1:AP6"/>
  <sheetViews>
    <sheetView topLeftCell="P1" zoomScale="90" workbookViewId="0">
      <selection activeCell="AC3" sqref="AC3"/>
    </sheetView>
  </sheetViews>
  <sheetFormatPr baseColWidth="10" defaultRowHeight="15" x14ac:dyDescent="0.25"/>
  <cols>
    <col min="1" max="1" width="11.7109375" bestFit="1" customWidth="1"/>
    <col min="2" max="2" width="22.28515625" customWidth="1"/>
    <col min="3" max="3" width="15.42578125" bestFit="1" customWidth="1"/>
    <col min="4" max="4" width="42.7109375" bestFit="1" customWidth="1"/>
    <col min="5" max="5" width="42.28515625" customWidth="1"/>
    <col min="9" max="9" width="38.5703125" bestFit="1" customWidth="1"/>
    <col min="10" max="20" width="23.85546875" customWidth="1"/>
  </cols>
  <sheetData>
    <row r="1" spans="1:42" ht="3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>
        <v>2000</v>
      </c>
      <c r="L1" s="1">
        <v>2001</v>
      </c>
      <c r="M1" s="1">
        <v>2002</v>
      </c>
      <c r="N1" s="1">
        <v>2003</v>
      </c>
      <c r="O1" s="1">
        <v>2004</v>
      </c>
      <c r="P1" s="1">
        <v>2005</v>
      </c>
      <c r="Q1" s="1">
        <v>2006</v>
      </c>
      <c r="R1" s="1">
        <v>2007</v>
      </c>
      <c r="S1" s="1">
        <v>2008</v>
      </c>
      <c r="T1" s="1">
        <v>2009</v>
      </c>
      <c r="U1" s="12">
        <v>2010</v>
      </c>
      <c r="V1" s="12">
        <v>2011</v>
      </c>
      <c r="W1" s="12">
        <v>2012</v>
      </c>
      <c r="X1" s="12">
        <v>2013</v>
      </c>
      <c r="Y1" s="12">
        <v>2014</v>
      </c>
      <c r="Z1" s="12">
        <v>2015</v>
      </c>
      <c r="AA1" s="12">
        <v>2016</v>
      </c>
      <c r="AB1" s="12">
        <v>2017</v>
      </c>
      <c r="AC1" s="12">
        <v>2018</v>
      </c>
      <c r="AD1" s="12">
        <v>2019</v>
      </c>
      <c r="AE1" s="12">
        <v>2020</v>
      </c>
      <c r="AF1" s="12">
        <v>2021</v>
      </c>
      <c r="AG1" s="12">
        <v>2022</v>
      </c>
      <c r="AH1" s="12">
        <v>2023</v>
      </c>
      <c r="AI1" s="12">
        <v>2024</v>
      </c>
    </row>
    <row r="2" spans="1:42" ht="27.75" x14ac:dyDescent="0.65">
      <c r="B2" t="s">
        <v>39</v>
      </c>
      <c r="D2" s="19" t="s">
        <v>65</v>
      </c>
      <c r="E2" s="22" t="s">
        <v>61</v>
      </c>
      <c r="F2">
        <v>1</v>
      </c>
      <c r="G2">
        <v>1</v>
      </c>
      <c r="I2" s="20" t="s">
        <v>66</v>
      </c>
      <c r="J2" s="21" t="s">
        <v>40</v>
      </c>
      <c r="K2" s="28">
        <v>12.3</v>
      </c>
      <c r="L2" s="28">
        <v>10</v>
      </c>
      <c r="M2" s="28">
        <v>5.8</v>
      </c>
      <c r="N2" s="28">
        <v>4.7</v>
      </c>
      <c r="O2" s="28">
        <v>6.6</v>
      </c>
      <c r="P2" s="28">
        <v>11.7</v>
      </c>
      <c r="Q2" s="28">
        <v>11.5</v>
      </c>
      <c r="R2" s="28">
        <v>10.4</v>
      </c>
      <c r="S2" s="28">
        <v>10.8</v>
      </c>
      <c r="T2" s="28">
        <v>11</v>
      </c>
      <c r="U2" s="28">
        <v>8.5</v>
      </c>
      <c r="V2" s="28">
        <v>6.3</v>
      </c>
      <c r="W2" s="28">
        <v>4.03</v>
      </c>
      <c r="X2" s="28">
        <v>3.5</v>
      </c>
      <c r="Y2" s="28">
        <v>3.4</v>
      </c>
      <c r="Z2" s="28">
        <v>3.85</v>
      </c>
      <c r="AA2" s="28">
        <v>3.8</v>
      </c>
      <c r="AB2" s="28">
        <v>4.7</v>
      </c>
      <c r="AC2" s="28">
        <v>4.7</v>
      </c>
      <c r="AD2" s="28">
        <v>4.7</v>
      </c>
      <c r="AE2" s="28">
        <v>4.3324999999999996</v>
      </c>
      <c r="AF2" s="28">
        <v>2.1074999999999999</v>
      </c>
      <c r="AG2" s="28">
        <v>2.2675000000000001</v>
      </c>
      <c r="AH2" s="28">
        <v>5.8624999999999998</v>
      </c>
      <c r="AI2" s="28">
        <v>6.8325000000000005</v>
      </c>
      <c r="AK2">
        <v>7.33</v>
      </c>
      <c r="AM2">
        <v>14.5</v>
      </c>
      <c r="AO2">
        <v>8</v>
      </c>
    </row>
    <row r="3" spans="1:42" ht="27.75" x14ac:dyDescent="0.65">
      <c r="B3" t="s">
        <v>39</v>
      </c>
      <c r="D3" s="19" t="s">
        <v>65</v>
      </c>
      <c r="E3" s="22" t="s">
        <v>61</v>
      </c>
      <c r="F3">
        <v>2</v>
      </c>
      <c r="G3">
        <v>2</v>
      </c>
      <c r="I3" s="20" t="s">
        <v>35</v>
      </c>
      <c r="J3" s="21" t="s">
        <v>40</v>
      </c>
      <c r="K3" s="28">
        <v>10</v>
      </c>
      <c r="L3" s="28">
        <v>8</v>
      </c>
      <c r="M3" s="28">
        <v>8</v>
      </c>
      <c r="N3" s="28">
        <v>8</v>
      </c>
      <c r="O3" s="28">
        <v>8</v>
      </c>
      <c r="P3" s="28">
        <v>8</v>
      </c>
      <c r="Q3" s="28">
        <v>8</v>
      </c>
      <c r="R3" s="28">
        <v>8</v>
      </c>
      <c r="S3" s="28">
        <v>8</v>
      </c>
      <c r="T3" s="28">
        <v>8</v>
      </c>
      <c r="U3" s="28">
        <v>8</v>
      </c>
      <c r="V3" s="28">
        <v>8</v>
      </c>
      <c r="W3" s="28">
        <v>5.03</v>
      </c>
      <c r="X3" s="28">
        <v>4.5</v>
      </c>
      <c r="Y3" s="28">
        <v>4.4000000000000004</v>
      </c>
      <c r="Z3" s="28">
        <v>4.8</v>
      </c>
      <c r="AA3" s="28">
        <v>5.5</v>
      </c>
      <c r="AB3" s="28">
        <v>5.6</v>
      </c>
      <c r="AC3" s="28">
        <v>5.6</v>
      </c>
      <c r="AD3" s="29"/>
      <c r="AE3" s="29"/>
      <c r="AF3" s="29"/>
      <c r="AG3" s="28"/>
      <c r="AH3" s="28"/>
      <c r="AK3">
        <v>7.59</v>
      </c>
      <c r="AM3">
        <v>16</v>
      </c>
      <c r="AO3">
        <v>8</v>
      </c>
    </row>
    <row r="4" spans="1:42" ht="27.75" x14ac:dyDescent="0.65">
      <c r="B4" t="s">
        <v>39</v>
      </c>
      <c r="D4" s="19" t="s">
        <v>65</v>
      </c>
      <c r="E4" s="22" t="s">
        <v>61</v>
      </c>
      <c r="F4">
        <v>3</v>
      </c>
      <c r="G4">
        <v>3</v>
      </c>
      <c r="I4" s="20" t="s">
        <v>36</v>
      </c>
      <c r="J4" s="21" t="s">
        <v>40</v>
      </c>
      <c r="K4" s="28">
        <v>25</v>
      </c>
      <c r="L4" s="28">
        <v>23</v>
      </c>
      <c r="M4" s="28">
        <v>21</v>
      </c>
      <c r="N4" s="28">
        <v>21</v>
      </c>
      <c r="O4" s="28">
        <v>21</v>
      </c>
      <c r="P4" s="28">
        <v>24</v>
      </c>
      <c r="Q4" s="28">
        <v>24</v>
      </c>
      <c r="R4" s="28">
        <v>22</v>
      </c>
      <c r="S4" s="28">
        <v>20</v>
      </c>
      <c r="T4" s="28">
        <v>17</v>
      </c>
      <c r="U4" s="28">
        <v>17</v>
      </c>
      <c r="V4" s="28">
        <v>17</v>
      </c>
      <c r="W4" s="28">
        <v>17</v>
      </c>
      <c r="X4" s="28">
        <v>17</v>
      </c>
      <c r="Y4" s="28">
        <v>17</v>
      </c>
      <c r="Z4" s="28">
        <v>17</v>
      </c>
      <c r="AA4" s="28">
        <v>17</v>
      </c>
      <c r="AB4" s="28">
        <v>17</v>
      </c>
      <c r="AC4" s="28">
        <v>14.5</v>
      </c>
      <c r="AD4" s="28">
        <v>14.5</v>
      </c>
      <c r="AE4" s="28">
        <v>13</v>
      </c>
      <c r="AF4" s="28">
        <v>13</v>
      </c>
      <c r="AG4" s="28">
        <v>13</v>
      </c>
      <c r="AH4" s="28">
        <v>16</v>
      </c>
      <c r="AI4" s="28">
        <v>15.625</v>
      </c>
      <c r="AK4">
        <v>6.97</v>
      </c>
      <c r="AL4">
        <f>AVERAGE(AK2:AK5)</f>
        <v>6.8325000000000005</v>
      </c>
      <c r="AM4">
        <v>16</v>
      </c>
      <c r="AN4">
        <f>AVERAGE(AM2:AM5)</f>
        <v>15.625</v>
      </c>
      <c r="AO4">
        <v>8</v>
      </c>
      <c r="AP4">
        <f>AVERAGE(AO2:AO5)</f>
        <v>7.625</v>
      </c>
    </row>
    <row r="5" spans="1:42" ht="27.75" x14ac:dyDescent="0.65">
      <c r="B5" t="s">
        <v>39</v>
      </c>
      <c r="D5" s="19" t="s">
        <v>65</v>
      </c>
      <c r="E5" s="22" t="s">
        <v>61</v>
      </c>
      <c r="F5">
        <v>4</v>
      </c>
      <c r="G5">
        <v>4</v>
      </c>
      <c r="I5" s="20" t="s">
        <v>37</v>
      </c>
      <c r="J5" s="21" t="s">
        <v>40</v>
      </c>
      <c r="K5" s="28">
        <v>15</v>
      </c>
      <c r="L5" s="28">
        <v>13</v>
      </c>
      <c r="M5" s="28">
        <v>11</v>
      </c>
      <c r="N5" s="28">
        <v>11</v>
      </c>
      <c r="O5" s="28">
        <v>11</v>
      </c>
      <c r="P5" s="28">
        <v>14</v>
      </c>
      <c r="Q5" s="28">
        <v>14</v>
      </c>
      <c r="R5" s="28">
        <v>12</v>
      </c>
      <c r="S5" s="28">
        <v>12</v>
      </c>
      <c r="T5" s="28">
        <v>9</v>
      </c>
      <c r="U5" s="28">
        <v>9</v>
      </c>
      <c r="V5" s="28">
        <v>9</v>
      </c>
      <c r="W5" s="28">
        <v>9</v>
      </c>
      <c r="X5" s="28">
        <v>9</v>
      </c>
      <c r="Y5" s="28">
        <v>9</v>
      </c>
      <c r="Z5" s="28">
        <v>9</v>
      </c>
      <c r="AA5" s="28">
        <v>9</v>
      </c>
      <c r="AB5" s="28">
        <v>9</v>
      </c>
      <c r="AC5" s="28">
        <v>6.5</v>
      </c>
      <c r="AD5" s="28">
        <v>6.5</v>
      </c>
      <c r="AE5" s="28">
        <v>5</v>
      </c>
      <c r="AF5" s="28">
        <v>5</v>
      </c>
      <c r="AG5" s="28">
        <v>6.25</v>
      </c>
      <c r="AH5" s="28">
        <v>8</v>
      </c>
      <c r="AI5" s="28">
        <v>7.625</v>
      </c>
      <c r="AK5">
        <v>5.44</v>
      </c>
      <c r="AM5">
        <v>16</v>
      </c>
      <c r="AO5">
        <v>6.5</v>
      </c>
    </row>
    <row r="6" spans="1:42" ht="27.75" x14ac:dyDescent="0.65"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Monnaie </vt:lpstr>
      <vt:lpstr>répart crédits1 </vt:lpstr>
      <vt:lpstr>répart crédits2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Nejib</cp:lastModifiedBy>
  <dcterms:created xsi:type="dcterms:W3CDTF">2025-08-06T14:29:36Z</dcterms:created>
  <dcterms:modified xsi:type="dcterms:W3CDTF">2025-12-21T20:11:05Z</dcterms:modified>
</cp:coreProperties>
</file>