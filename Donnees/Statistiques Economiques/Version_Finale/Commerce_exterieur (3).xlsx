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CA564422-81A1-491B-B713-2373B795C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ux de change($)" sheetId="2" r:id="rId1"/>
    <sheet name="taux de change(€)" sheetId="3" r:id="rId2"/>
    <sheet name="taux de change(Fcfa)" sheetId="4" r:id="rId3"/>
    <sheet name="taux de change(¥)" sheetId="5" r:id="rId4"/>
    <sheet name="Import bien" sheetId="6" r:id="rId5"/>
    <sheet name="Imports_G_cont_t12" sheetId="22" r:id="rId6"/>
    <sheet name="Alim val" sheetId="23" r:id="rId7"/>
    <sheet name="Exportation Mauritanienne ty.pr" sheetId="10" r:id="rId8"/>
    <sheet name="Exportation Mauritanien des" sheetId="21" r:id="rId9"/>
    <sheet name="Export poisson" sheetId="11" r:id="rId10"/>
    <sheet name="Export smcp pays" sheetId="12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6" hidden="1">{"Main Economic Indicators",#N/A,FALSE,"C"}</definedName>
    <definedName name="dd" localSheetId="9" hidden="1">{"Main Economic Indicators",#N/A,FALSE,"C"}</definedName>
    <definedName name="dd" localSheetId="10" hidden="1">{"Main Economic Indicators",#N/A,FALSE,"C"}</definedName>
    <definedName name="dd" localSheetId="8" hidden="1">{"Main Economic Indicators",#N/A,FALSE,"C"}</definedName>
    <definedName name="dd" localSheetId="7" hidden="1">{"Main Economic Indicators",#N/A,FALSE,"C"}</definedName>
    <definedName name="dd" localSheetId="4" hidden="1">{"Main Economic Indicators",#N/A,FALSE,"C"}</definedName>
    <definedName name="dd" localSheetId="5" hidden="1">{"Main Economic Indicators",#N/A,FALSE,"C"}</definedName>
    <definedName name="dd" localSheetId="3" hidden="1">{"Main Economic Indicators",#N/A,FALSE,"C"}</definedName>
    <definedName name="dd" localSheetId="1" hidden="1">{"Main Economic Indicators",#N/A,FALSE,"C"}</definedName>
    <definedName name="dd" localSheetId="2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6" hidden="1">{"Main Economic Indicators",#N/A,FALSE,"C"}</definedName>
    <definedName name="ef" localSheetId="9" hidden="1">{"Main Economic Indicators",#N/A,FALSE,"C"}</definedName>
    <definedName name="ef" localSheetId="10" hidden="1">{"Main Economic Indicators",#N/A,FALSE,"C"}</definedName>
    <definedName name="ef" localSheetId="8" hidden="1">{"Main Economic Indicators",#N/A,FALSE,"C"}</definedName>
    <definedName name="ef" localSheetId="7" hidden="1">{"Main Economic Indicators",#N/A,FALSE,"C"}</definedName>
    <definedName name="ef" localSheetId="4" hidden="1">{"Main Economic Indicators",#N/A,FALSE,"C"}</definedName>
    <definedName name="ef" localSheetId="5" hidden="1">{"Main Economic Indicators",#N/A,FALSE,"C"}</definedName>
    <definedName name="ef" localSheetId="3" hidden="1">{"Main Economic Indicators",#N/A,FALSE,"C"}</definedName>
    <definedName name="ef" localSheetId="1" hidden="1">{"Main Economic Indicators",#N/A,FALSE,"C"}</definedName>
    <definedName name="ef" localSheetId="2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6" hidden="1">{"Main Economic Indicators",#N/A,FALSE,"C"}</definedName>
    <definedName name="ergferger" localSheetId="9" hidden="1">{"Main Economic Indicators",#N/A,FALSE,"C"}</definedName>
    <definedName name="ergferger" localSheetId="10" hidden="1">{"Main Economic Indicators",#N/A,FALSE,"C"}</definedName>
    <definedName name="ergferger" localSheetId="8" hidden="1">{"Main Economic Indicators",#N/A,FALSE,"C"}</definedName>
    <definedName name="ergferger" localSheetId="7" hidden="1">{"Main Economic Indicators",#N/A,FALSE,"C"}</definedName>
    <definedName name="ergferger" localSheetId="4" hidden="1">{"Main Economic Indicators",#N/A,FALSE,"C"}</definedName>
    <definedName name="ergferger" localSheetId="5" hidden="1">{"Main Economic Indicators",#N/A,FALSE,"C"}</definedName>
    <definedName name="ergferger" localSheetId="3" hidden="1">{"Main Economic Indicators",#N/A,FALSE,"C"}</definedName>
    <definedName name="ergferger" localSheetId="1" hidden="1">{"Main Economic Indicators",#N/A,FALSE,"C"}</definedName>
    <definedName name="ergferger" localSheetId="2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6" hidden="1">{"Main Economic Indicators",#N/A,FALSE,"C"}</definedName>
    <definedName name="ex" localSheetId="9" hidden="1">{"Main Economic Indicators",#N/A,FALSE,"C"}</definedName>
    <definedName name="ex" localSheetId="10" hidden="1">{"Main Economic Indicators",#N/A,FALSE,"C"}</definedName>
    <definedName name="ex" localSheetId="8" hidden="1">{"Main Economic Indicators",#N/A,FALSE,"C"}</definedName>
    <definedName name="ex" localSheetId="7" hidden="1">{"Main Economic Indicators",#N/A,FALSE,"C"}</definedName>
    <definedName name="ex" localSheetId="4" hidden="1">{"Main Economic Indicators",#N/A,FALSE,"C"}</definedName>
    <definedName name="ex" localSheetId="5" hidden="1">{"Main Economic Indicators",#N/A,FALSE,"C"}</definedName>
    <definedName name="ex" localSheetId="3" hidden="1">{"Main Economic Indicators",#N/A,FALSE,"C"}</definedName>
    <definedName name="ex" localSheetId="1" hidden="1">{"Main Economic Indicators",#N/A,FALSE,"C"}</definedName>
    <definedName name="ex" localSheetId="2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6" hidden="1">{"Main Economic Indicators",#N/A,FALSE,"C"}</definedName>
    <definedName name="export" localSheetId="9" hidden="1">{"Main Economic Indicators",#N/A,FALSE,"C"}</definedName>
    <definedName name="export" localSheetId="10" hidden="1">{"Main Economic Indicators",#N/A,FALSE,"C"}</definedName>
    <definedName name="export" localSheetId="8" hidden="1">{"Main Economic Indicators",#N/A,FALSE,"C"}</definedName>
    <definedName name="export" localSheetId="7" hidden="1">{"Main Economic Indicators",#N/A,FALSE,"C"}</definedName>
    <definedName name="export" localSheetId="4" hidden="1">{"Main Economic Indicators",#N/A,FALSE,"C"}</definedName>
    <definedName name="export" localSheetId="5" hidden="1">{"Main Economic Indicators",#N/A,FALSE,"C"}</definedName>
    <definedName name="export" localSheetId="3" hidden="1">{"Main Economic Indicators",#N/A,FALSE,"C"}</definedName>
    <definedName name="export" localSheetId="1" hidden="1">{"Main Economic Indicators",#N/A,FALSE,"C"}</definedName>
    <definedName name="export" localSheetId="2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6" hidden="1">{"Main Economic Indicators",#N/A,FALSE,"C"}</definedName>
    <definedName name="ff" localSheetId="9" hidden="1">{"Main Economic Indicators",#N/A,FALSE,"C"}</definedName>
    <definedName name="ff" localSheetId="10" hidden="1">{"Main Economic Indicators",#N/A,FALSE,"C"}</definedName>
    <definedName name="ff" localSheetId="8" hidden="1">{"Main Economic Indicators",#N/A,FALSE,"C"}</definedName>
    <definedName name="ff" localSheetId="7" hidden="1">{"Main Economic Indicators",#N/A,FALSE,"C"}</definedName>
    <definedName name="ff" localSheetId="4" hidden="1">{"Main Economic Indicators",#N/A,FALSE,"C"}</definedName>
    <definedName name="ff" localSheetId="5" hidden="1">{"Main Economic Indicators",#N/A,FALSE,"C"}</definedName>
    <definedName name="ff" localSheetId="3" hidden="1">{"Main Economic Indicators",#N/A,FALSE,"C"}</definedName>
    <definedName name="ff" localSheetId="1" hidden="1">{"Main Economic Indicators",#N/A,FALSE,"C"}</definedName>
    <definedName name="ff" localSheetId="2" hidden="1">{"Main Economic Indicators",#N/A,FALSE,"C"}</definedName>
    <definedName name="ff" hidden="1">{"Main Economic Indicators",#N/A,FALSE,"C"}</definedName>
    <definedName name="ffffff" localSheetId="6" hidden="1">{"Main Economic Indicators",#N/A,FALSE,"C"}</definedName>
    <definedName name="ffffff" localSheetId="9" hidden="1">{"Main Economic Indicators",#N/A,FALSE,"C"}</definedName>
    <definedName name="ffffff" localSheetId="10" hidden="1">{"Main Economic Indicators",#N/A,FALSE,"C"}</definedName>
    <definedName name="ffffff" localSheetId="8" hidden="1">{"Main Economic Indicators",#N/A,FALSE,"C"}</definedName>
    <definedName name="ffffff" localSheetId="7" hidden="1">{"Main Economic Indicators",#N/A,FALSE,"C"}</definedName>
    <definedName name="ffffff" localSheetId="4" hidden="1">{"Main Economic Indicators",#N/A,FALSE,"C"}</definedName>
    <definedName name="ffffff" localSheetId="5" hidden="1">{"Main Economic Indicators",#N/A,FALSE,"C"}</definedName>
    <definedName name="ffffff" localSheetId="3" hidden="1">{"Main Economic Indicators",#N/A,FALSE,"C"}</definedName>
    <definedName name="ffffff" localSheetId="1" hidden="1">{"Main Economic Indicators",#N/A,FALSE,"C"}</definedName>
    <definedName name="ffffff" localSheetId="2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6" hidden="1">{"Main Economic Indicators",#N/A,FALSE,"C"}</definedName>
    <definedName name="fit" localSheetId="9" hidden="1">{"Main Economic Indicators",#N/A,FALSE,"C"}</definedName>
    <definedName name="fit" localSheetId="10" hidden="1">{"Main Economic Indicators",#N/A,FALSE,"C"}</definedName>
    <definedName name="fit" localSheetId="8" hidden="1">{"Main Economic Indicators",#N/A,FALSE,"C"}</definedName>
    <definedName name="fit" localSheetId="7" hidden="1">{"Main Economic Indicators",#N/A,FALSE,"C"}</definedName>
    <definedName name="fit" localSheetId="4" hidden="1">{"Main Economic Indicators",#N/A,FALSE,"C"}</definedName>
    <definedName name="fit" localSheetId="5" hidden="1">{"Main Economic Indicators",#N/A,FALSE,"C"}</definedName>
    <definedName name="fit" localSheetId="3" hidden="1">{"Main Economic Indicators",#N/A,FALSE,"C"}</definedName>
    <definedName name="fit" localSheetId="1" hidden="1">{"Main Economic Indicators",#N/A,FALSE,"C"}</definedName>
    <definedName name="fit" localSheetId="2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9" hidden="1">{"Main Economic Indicators",#N/A,FALSE,"C"}</definedName>
    <definedName name="g" localSheetId="10" hidden="1">{"Main Economic Indicators",#N/A,FALSE,"C"}</definedName>
    <definedName name="g" localSheetId="7" hidden="1">{"Main Economic Indicators",#N/A,FALSE,"C"}</definedName>
    <definedName name="g" localSheetId="4" hidden="1">{"Main Economic Indicators",#N/A,FALSE,"C"}</definedName>
    <definedName name="g" localSheetId="3" hidden="1">{"Main Economic Indicators",#N/A,FALSE,"C"}</definedName>
    <definedName name="g" localSheetId="1" hidden="1">{"Main Economic Indicators",#N/A,FALSE,"C"}</definedName>
    <definedName name="g" localSheetId="2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6" hidden="1">{"Main Economic Indicators",#N/A,FALSE,"C"}</definedName>
    <definedName name="hh" localSheetId="9" hidden="1">{"Main Economic Indicators",#N/A,FALSE,"C"}</definedName>
    <definedName name="hh" localSheetId="10" hidden="1">{"Main Economic Indicators",#N/A,FALSE,"C"}</definedName>
    <definedName name="hh" localSheetId="8" hidden="1">{"Main Economic Indicators",#N/A,FALSE,"C"}</definedName>
    <definedName name="hh" localSheetId="7" hidden="1">{"Main Economic Indicators",#N/A,FALSE,"C"}</definedName>
    <definedName name="hh" localSheetId="4" hidden="1">{"Main Economic Indicators",#N/A,FALSE,"C"}</definedName>
    <definedName name="hh" localSheetId="5" hidden="1">{"Main Economic Indicators",#N/A,FALSE,"C"}</definedName>
    <definedName name="hh" localSheetId="3" hidden="1">{"Main Economic Indicators",#N/A,FALSE,"C"}</definedName>
    <definedName name="hh" localSheetId="1" hidden="1">{"Main Economic Indicators",#N/A,FALSE,"C"}</definedName>
    <definedName name="hh" localSheetId="2" hidden="1">{"Main Economic Indicators",#N/A,FALSE,"C"}</definedName>
    <definedName name="hh" hidden="1">{"Main Economic Indicators",#N/A,FALSE,"C"}</definedName>
    <definedName name="hhhh" localSheetId="6" hidden="1">{"Main Economic Indicators",#N/A,FALSE,"C"}</definedName>
    <definedName name="hhhh" localSheetId="9" hidden="1">{"Main Economic Indicators",#N/A,FALSE,"C"}</definedName>
    <definedName name="hhhh" localSheetId="10" hidden="1">{"Main Economic Indicators",#N/A,FALSE,"C"}</definedName>
    <definedName name="hhhh" localSheetId="8" hidden="1">{"Main Economic Indicators",#N/A,FALSE,"C"}</definedName>
    <definedName name="hhhh" localSheetId="7" hidden="1">{"Main Economic Indicators",#N/A,FALSE,"C"}</definedName>
    <definedName name="hhhh" localSheetId="4" hidden="1">{"Main Economic Indicators",#N/A,FALSE,"C"}</definedName>
    <definedName name="hhhh" localSheetId="5" hidden="1">{"Main Economic Indicators",#N/A,FALSE,"C"}</definedName>
    <definedName name="hhhh" localSheetId="3" hidden="1">{"Main Economic Indicators",#N/A,FALSE,"C"}</definedName>
    <definedName name="hhhh" localSheetId="1" hidden="1">{"Main Economic Indicators",#N/A,FALSE,"C"}</definedName>
    <definedName name="hhhh" localSheetId="2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6" hidden="1">{"Main Economic Indicators",#N/A,FALSE,"C"}</definedName>
    <definedName name="iui" localSheetId="9" hidden="1">{"Main Economic Indicators",#N/A,FALSE,"C"}</definedName>
    <definedName name="iui" localSheetId="10" hidden="1">{"Main Economic Indicators",#N/A,FALSE,"C"}</definedName>
    <definedName name="iui" localSheetId="8" hidden="1">{"Main Economic Indicators",#N/A,FALSE,"C"}</definedName>
    <definedName name="iui" localSheetId="7" hidden="1">{"Main Economic Indicators",#N/A,FALSE,"C"}</definedName>
    <definedName name="iui" localSheetId="4" hidden="1">{"Main Economic Indicators",#N/A,FALSE,"C"}</definedName>
    <definedName name="iui" localSheetId="5" hidden="1">{"Main Economic Indicators",#N/A,FALSE,"C"}</definedName>
    <definedName name="iui" localSheetId="3" hidden="1">{"Main Economic Indicators",#N/A,FALSE,"C"}</definedName>
    <definedName name="iui" localSheetId="1" hidden="1">{"Main Economic Indicators",#N/A,FALSE,"C"}</definedName>
    <definedName name="iui" localSheetId="2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6" hidden="1">{"Main Economic Indicators",#N/A,FALSE,"C"}</definedName>
    <definedName name="ll" localSheetId="9" hidden="1">{"Main Economic Indicators",#N/A,FALSE,"C"}</definedName>
    <definedName name="ll" localSheetId="10" hidden="1">{"Main Economic Indicators",#N/A,FALSE,"C"}</definedName>
    <definedName name="ll" localSheetId="8" hidden="1">{"Main Economic Indicators",#N/A,FALSE,"C"}</definedName>
    <definedName name="ll" localSheetId="7" hidden="1">{"Main Economic Indicators",#N/A,FALSE,"C"}</definedName>
    <definedName name="ll" localSheetId="4" hidden="1">{"Main Economic Indicators",#N/A,FALSE,"C"}</definedName>
    <definedName name="ll" localSheetId="5" hidden="1">{"Main Economic Indicators",#N/A,FALSE,"C"}</definedName>
    <definedName name="ll" localSheetId="3" hidden="1">{"Main Economic Indicators",#N/A,FALSE,"C"}</definedName>
    <definedName name="ll" localSheetId="1" hidden="1">{"Main Economic Indicators",#N/A,FALSE,"C"}</definedName>
    <definedName name="ll" localSheetId="2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6" hidden="1">{"Main Economic Indicators",#N/A,FALSE,"C"}</definedName>
    <definedName name="nnn" localSheetId="9" hidden="1">{"Main Economic Indicators",#N/A,FALSE,"C"}</definedName>
    <definedName name="nnn" localSheetId="10" hidden="1">{"Main Economic Indicators",#N/A,FALSE,"C"}</definedName>
    <definedName name="nnn" localSheetId="8" hidden="1">{"Main Economic Indicators",#N/A,FALSE,"C"}</definedName>
    <definedName name="nnn" localSheetId="7" hidden="1">{"Main Economic Indicators",#N/A,FALSE,"C"}</definedName>
    <definedName name="nnn" localSheetId="4" hidden="1">{"Main Economic Indicators",#N/A,FALSE,"C"}</definedName>
    <definedName name="nnn" localSheetId="5" hidden="1">{"Main Economic Indicators",#N/A,FALSE,"C"}</definedName>
    <definedName name="nnn" localSheetId="3" hidden="1">{"Main Economic Indicators",#N/A,FALSE,"C"}</definedName>
    <definedName name="nnn" localSheetId="1" hidden="1">{"Main Economic Indicators",#N/A,FALSE,"C"}</definedName>
    <definedName name="nnn" localSheetId="2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6" hidden="1">{"Main Economic Indicators",#N/A,FALSE,"C"}</definedName>
    <definedName name="rr" localSheetId="9" hidden="1">{"Main Economic Indicators",#N/A,FALSE,"C"}</definedName>
    <definedName name="rr" localSheetId="10" hidden="1">{"Main Economic Indicators",#N/A,FALSE,"C"}</definedName>
    <definedName name="rr" localSheetId="8" hidden="1">{"Main Economic Indicators",#N/A,FALSE,"C"}</definedName>
    <definedName name="rr" localSheetId="7" hidden="1">{"Main Economic Indicators",#N/A,FALSE,"C"}</definedName>
    <definedName name="rr" localSheetId="4" hidden="1">{"Main Economic Indicators",#N/A,FALSE,"C"}</definedName>
    <definedName name="rr" localSheetId="5" hidden="1">{"Main Economic Indicators",#N/A,FALSE,"C"}</definedName>
    <definedName name="rr" localSheetId="3" hidden="1">{"Main Economic Indicators",#N/A,FALSE,"C"}</definedName>
    <definedName name="rr" localSheetId="1" hidden="1">{"Main Economic Indicators",#N/A,FALSE,"C"}</definedName>
    <definedName name="rr" localSheetId="2" hidden="1">{"Main Economic Indicators",#N/A,FALSE,"C"}</definedName>
    <definedName name="rr" hidden="1">{"Main Economic Indicators",#N/A,FALSE,"C"}</definedName>
    <definedName name="rs">#REF!</definedName>
    <definedName name="rt" localSheetId="6" hidden="1">{"Main Economic Indicators",#N/A,FALSE,"C"}</definedName>
    <definedName name="rt" localSheetId="9" hidden="1">{"Main Economic Indicators",#N/A,FALSE,"C"}</definedName>
    <definedName name="rt" localSheetId="10" hidden="1">{"Main Economic Indicators",#N/A,FALSE,"C"}</definedName>
    <definedName name="rt" localSheetId="8" hidden="1">{"Main Economic Indicators",#N/A,FALSE,"C"}</definedName>
    <definedName name="rt" localSheetId="7" hidden="1">{"Main Economic Indicators",#N/A,FALSE,"C"}</definedName>
    <definedName name="rt" localSheetId="4" hidden="1">{"Main Economic Indicators",#N/A,FALSE,"C"}</definedName>
    <definedName name="rt" localSheetId="5" hidden="1">{"Main Economic Indicators",#N/A,FALSE,"C"}</definedName>
    <definedName name="rt" localSheetId="3" hidden="1">{"Main Economic Indicators",#N/A,FALSE,"C"}</definedName>
    <definedName name="rt" localSheetId="1" hidden="1">{"Main Economic Indicators",#N/A,FALSE,"C"}</definedName>
    <definedName name="rt" localSheetId="2" hidden="1">{"Main Economic Indicators",#N/A,FALSE,"C"}</definedName>
    <definedName name="rt" hidden="1">{"Main Economic Indicators",#N/A,FALSE,"C"}</definedName>
    <definedName name="rtre" localSheetId="6" hidden="1">{"Main Economic Indicators",#N/A,FALSE,"C"}</definedName>
    <definedName name="rtre" localSheetId="9" hidden="1">{"Main Economic Indicators",#N/A,FALSE,"C"}</definedName>
    <definedName name="rtre" localSheetId="10" hidden="1">{"Main Economic Indicators",#N/A,FALSE,"C"}</definedName>
    <definedName name="rtre" localSheetId="8" hidden="1">{"Main Economic Indicators",#N/A,FALSE,"C"}</definedName>
    <definedName name="rtre" localSheetId="7" hidden="1">{"Main Economic Indicators",#N/A,FALSE,"C"}</definedName>
    <definedName name="rtre" localSheetId="4" hidden="1">{"Main Economic Indicators",#N/A,FALSE,"C"}</definedName>
    <definedName name="rtre" localSheetId="5" hidden="1">{"Main Economic Indicators",#N/A,FALSE,"C"}</definedName>
    <definedName name="rtre" localSheetId="3" hidden="1">{"Main Economic Indicators",#N/A,FALSE,"C"}</definedName>
    <definedName name="rtre" localSheetId="1" hidden="1">{"Main Economic Indicators",#N/A,FALSE,"C"}</definedName>
    <definedName name="rtre" localSheetId="2" hidden="1">{"Main Economic Indicators",#N/A,FALSE,"C"}</definedName>
    <definedName name="rtre" hidden="1">{"Main Economic Indicators",#N/A,FALSE,"C"}</definedName>
    <definedName name="rXDR">[8]CIRRs!$C$109</definedName>
    <definedName name="s" localSheetId="6" hidden="1">{"Main Economic Indicators",#N/A,FALSE,"C"}</definedName>
    <definedName name="s" localSheetId="9" hidden="1">{"Main Economic Indicators",#N/A,FALSE,"C"}</definedName>
    <definedName name="s" localSheetId="10" hidden="1">{"Main Economic Indicators",#N/A,FALSE,"C"}</definedName>
    <definedName name="s" localSheetId="8" hidden="1">{"Main Economic Indicators",#N/A,FALSE,"C"}</definedName>
    <definedName name="s" localSheetId="7" hidden="1">{"Main Economic Indicators",#N/A,FALSE,"C"}</definedName>
    <definedName name="s" localSheetId="4" hidden="1">{"Main Economic Indicators",#N/A,FALSE,"C"}</definedName>
    <definedName name="s" localSheetId="5" hidden="1">{"Main Economic Indicators",#N/A,FALSE,"C"}</definedName>
    <definedName name="s" localSheetId="3" hidden="1">{"Main Economic Indicators",#N/A,FALSE,"C"}</definedName>
    <definedName name="s" localSheetId="1" hidden="1">{"Main Economic Indicators",#N/A,FALSE,"C"}</definedName>
    <definedName name="s" localSheetId="2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6" hidden="1">{"Main Economic Indicators",#N/A,FALSE,"C"}</definedName>
    <definedName name="ser" localSheetId="9" hidden="1">{"Main Economic Indicators",#N/A,FALSE,"C"}</definedName>
    <definedName name="ser" localSheetId="10" hidden="1">{"Main Economic Indicators",#N/A,FALSE,"C"}</definedName>
    <definedName name="ser" localSheetId="8" hidden="1">{"Main Economic Indicators",#N/A,FALSE,"C"}</definedName>
    <definedName name="ser" localSheetId="7" hidden="1">{"Main Economic Indicators",#N/A,FALSE,"C"}</definedName>
    <definedName name="ser" localSheetId="4" hidden="1">{"Main Economic Indicators",#N/A,FALSE,"C"}</definedName>
    <definedName name="ser" localSheetId="5" hidden="1">{"Main Economic Indicators",#N/A,FALSE,"C"}</definedName>
    <definedName name="ser" localSheetId="3" hidden="1">{"Main Economic Indicators",#N/A,FALSE,"C"}</definedName>
    <definedName name="ser" localSheetId="1" hidden="1">{"Main Economic Indicators",#N/A,FALSE,"C"}</definedName>
    <definedName name="ser" localSheetId="2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6" hidden="1">{"Main Economic Indicators",#N/A,FALSE,"C"}</definedName>
    <definedName name="ss" localSheetId="9" hidden="1">{"Main Economic Indicators",#N/A,FALSE,"C"}</definedName>
    <definedName name="ss" localSheetId="10" hidden="1">{"Main Economic Indicators",#N/A,FALSE,"C"}</definedName>
    <definedName name="ss" localSheetId="8" hidden="1">{"Main Economic Indicators",#N/A,FALSE,"C"}</definedName>
    <definedName name="ss" localSheetId="7" hidden="1">{"Main Economic Indicators",#N/A,FALSE,"C"}</definedName>
    <definedName name="ss" localSheetId="4" hidden="1">{"Main Economic Indicators",#N/A,FALSE,"C"}</definedName>
    <definedName name="ss" localSheetId="5" hidden="1">{"Main Economic Indicators",#N/A,FALSE,"C"}</definedName>
    <definedName name="ss" localSheetId="3" hidden="1">{"Main Economic Indicators",#N/A,FALSE,"C"}</definedName>
    <definedName name="ss" localSheetId="1" hidden="1">{"Main Economic Indicators",#N/A,FALSE,"C"}</definedName>
    <definedName name="ss" localSheetId="2" hidden="1">{"Main Economic Indicators",#N/A,FALSE,"C"}</definedName>
    <definedName name="ss" hidden="1">{"Main Economic Indicators",#N/A,FALSE,"C"}</definedName>
    <definedName name="st" localSheetId="6" hidden="1">{"Main Economic Indicators",#N/A,FALSE,"C"}</definedName>
    <definedName name="st" localSheetId="9" hidden="1">{"Main Economic Indicators",#N/A,FALSE,"C"}</definedName>
    <definedName name="st" localSheetId="10" hidden="1">{"Main Economic Indicators",#N/A,FALSE,"C"}</definedName>
    <definedName name="st" localSheetId="8" hidden="1">{"Main Economic Indicators",#N/A,FALSE,"C"}</definedName>
    <definedName name="st" localSheetId="7" hidden="1">{"Main Economic Indicators",#N/A,FALSE,"C"}</definedName>
    <definedName name="st" localSheetId="4" hidden="1">{"Main Economic Indicators",#N/A,FALSE,"C"}</definedName>
    <definedName name="st" localSheetId="5" hidden="1">{"Main Economic Indicators",#N/A,FALSE,"C"}</definedName>
    <definedName name="st" localSheetId="3" hidden="1">{"Main Economic Indicators",#N/A,FALSE,"C"}</definedName>
    <definedName name="st" localSheetId="1" hidden="1">{"Main Economic Indicators",#N/A,FALSE,"C"}</definedName>
    <definedName name="st" localSheetId="2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6" hidden="1">{"Main Economic Indicators",#N/A,FALSE,"C"}</definedName>
    <definedName name="tit" localSheetId="9" hidden="1">{"Main Economic Indicators",#N/A,FALSE,"C"}</definedName>
    <definedName name="tit" localSheetId="10" hidden="1">{"Main Economic Indicators",#N/A,FALSE,"C"}</definedName>
    <definedName name="tit" localSheetId="8" hidden="1">{"Main Economic Indicators",#N/A,FALSE,"C"}</definedName>
    <definedName name="tit" localSheetId="7" hidden="1">{"Main Economic Indicators",#N/A,FALSE,"C"}</definedName>
    <definedName name="tit" localSheetId="4" hidden="1">{"Main Economic Indicators",#N/A,FALSE,"C"}</definedName>
    <definedName name="tit" localSheetId="5" hidden="1">{"Main Economic Indicators",#N/A,FALSE,"C"}</definedName>
    <definedName name="tit" localSheetId="3" hidden="1">{"Main Economic Indicators",#N/A,FALSE,"C"}</definedName>
    <definedName name="tit" localSheetId="1" hidden="1">{"Main Economic Indicators",#N/A,FALSE,"C"}</definedName>
    <definedName name="tit" localSheetId="2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6" hidden="1">{"Main Economic Indicators",#N/A,FALSE,"C"}</definedName>
    <definedName name="tt" localSheetId="9" hidden="1">{"Main Economic Indicators",#N/A,FALSE,"C"}</definedName>
    <definedName name="tt" localSheetId="10" hidden="1">{"Main Economic Indicators",#N/A,FALSE,"C"}</definedName>
    <definedName name="tt" localSheetId="8" hidden="1">{"Main Economic Indicators",#N/A,FALSE,"C"}</definedName>
    <definedName name="tt" localSheetId="7" hidden="1">{"Main Economic Indicators",#N/A,FALSE,"C"}</definedName>
    <definedName name="tt" localSheetId="4" hidden="1">{"Main Economic Indicators",#N/A,FALSE,"C"}</definedName>
    <definedName name="tt" localSheetId="5" hidden="1">{"Main Economic Indicators",#N/A,FALSE,"C"}</definedName>
    <definedName name="tt" localSheetId="3" hidden="1">{"Main Economic Indicators",#N/A,FALSE,"C"}</definedName>
    <definedName name="tt" localSheetId="1" hidden="1">{"Main Economic Indicators",#N/A,FALSE,"C"}</definedName>
    <definedName name="tt" localSheetId="2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6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10" hidden="1">{"Main Economic Indicators",#N/A,FALSE,"C"}</definedName>
    <definedName name="wrn.Main._.Economic._.Indicators." localSheetId="8" hidden="1">{"Main Economic Indicators",#N/A,FALSE,"C"}</definedName>
    <definedName name="wrn.Main._.Economic._.Indicators." localSheetId="7" hidden="1">{"Main Economic Indicators",#N/A,FALSE,"C"}</definedName>
    <definedName name="wrn.Main._.Economic._.Indicators." localSheetId="4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3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2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6" hidden="1">{"Main Economic Indicators",#N/A,FALSE,"C"}</definedName>
    <definedName name="xf" localSheetId="9" hidden="1">{"Main Economic Indicators",#N/A,FALSE,"C"}</definedName>
    <definedName name="xf" localSheetId="10" hidden="1">{"Main Economic Indicators",#N/A,FALSE,"C"}</definedName>
    <definedName name="xf" localSheetId="8" hidden="1">{"Main Economic Indicators",#N/A,FALSE,"C"}</definedName>
    <definedName name="xf" localSheetId="7" hidden="1">{"Main Economic Indicators",#N/A,FALSE,"C"}</definedName>
    <definedName name="xf" localSheetId="4" hidden="1">{"Main Economic Indicators",#N/A,FALSE,"C"}</definedName>
    <definedName name="xf" localSheetId="5" hidden="1">{"Main Economic Indicators",#N/A,FALSE,"C"}</definedName>
    <definedName name="xf" localSheetId="3" hidden="1">{"Main Economic Indicators",#N/A,FALSE,"C"}</definedName>
    <definedName name="xf" localSheetId="1" hidden="1">{"Main Economic Indicators",#N/A,FALSE,"C"}</definedName>
    <definedName name="xf" localSheetId="2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22" l="1"/>
  <c r="W16" i="22"/>
  <c r="V16" i="22"/>
  <c r="U16" i="22"/>
  <c r="T16" i="22"/>
  <c r="AE15" i="12" l="1"/>
  <c r="AD15" i="12"/>
  <c r="AB15" i="12"/>
  <c r="AE4" i="12"/>
  <c r="AD4" i="12"/>
  <c r="AB4" i="12"/>
  <c r="AA4" i="12"/>
  <c r="AJ7" i="11"/>
  <c r="AJ6" i="11"/>
  <c r="AJ4" i="11"/>
  <c r="AJ10" i="11" s="1"/>
  <c r="AJ3" i="11"/>
  <c r="AE14" i="5"/>
  <c r="AE14" i="4"/>
  <c r="AE14" i="3"/>
  <c r="AE14" i="2"/>
  <c r="AJ9" i="11" l="1"/>
</calcChain>
</file>

<file path=xl/sharedStrings.xml><?xml version="1.0" encoding="utf-8"?>
<sst xmlns="http://schemas.openxmlformats.org/spreadsheetml/2006/main" count="1353" uniqueCount="250">
  <si>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</si>
  <si>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</si>
  <si>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</si>
  <si>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</si>
  <si>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</si>
  <si>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</si>
  <si>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</si>
  <si>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</si>
  <si>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</si>
  <si>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Agreg</t>
  </si>
  <si>
    <t>ECHANGES EXTERIEUR</t>
  </si>
  <si>
    <t>Janvier</t>
  </si>
  <si>
    <t>Moyenne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</si>
  <si>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</si>
  <si>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</si>
  <si>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</si>
  <si>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</si>
  <si>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</si>
  <si>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</si>
  <si>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</si>
  <si>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</si>
  <si>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</si>
  <si>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</si>
  <si>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</si>
  <si>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Cours moyen</t>
  </si>
  <si>
    <t>Somme</t>
  </si>
  <si>
    <t>Produits pétroliers et leurs dérivés</t>
  </si>
  <si>
    <t>Produits alimentaires</t>
  </si>
  <si>
    <t>Matériels de transports</t>
  </si>
  <si>
    <t>Produits chimiques divers</t>
  </si>
  <si>
    <t>Produits divers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</si>
  <si>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</si>
  <si>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</si>
  <si>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</si>
  <si>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</si>
  <si>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</si>
  <si>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</si>
  <si>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</si>
  <si>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</si>
  <si>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</si>
  <si>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</si>
  <si>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Boissons</t>
  </si>
  <si>
    <t>Café, thé et cacao</t>
  </si>
  <si>
    <t>Céréales non transformées</t>
  </si>
  <si>
    <t>Blé</t>
  </si>
  <si>
    <t>Maïs</t>
  </si>
  <si>
    <t>Riz</t>
  </si>
  <si>
    <t>Farine de maïs</t>
  </si>
  <si>
    <t>Fruits</t>
  </si>
  <si>
    <t>Laits et produits laitiers</t>
  </si>
  <si>
    <t>Légumes</t>
  </si>
  <si>
    <t>Préparations alimentaires diverses</t>
  </si>
  <si>
    <t>Produits à base de céréales</t>
  </si>
  <si>
    <t>Produits de pêche</t>
  </si>
  <si>
    <t>Sucre et sucrerie</t>
  </si>
  <si>
    <t>Autres dérivés du sucre</t>
  </si>
  <si>
    <t>Miel naturel</t>
  </si>
  <si>
    <t>Sucre blanc</t>
  </si>
  <si>
    <t>Viandes et ses préparations</t>
  </si>
  <si>
    <t>Maroc</t>
  </si>
  <si>
    <t>Turquie</t>
  </si>
  <si>
    <t>Brésil</t>
  </si>
  <si>
    <t>Allemagne</t>
  </si>
  <si>
    <t>Danemark</t>
  </si>
  <si>
    <t>Espagne</t>
  </si>
  <si>
    <t>France</t>
  </si>
  <si>
    <t>Thaïlande</t>
  </si>
  <si>
    <t>Inde</t>
  </si>
  <si>
    <t>Japon</t>
  </si>
  <si>
    <t>Algérie</t>
  </si>
  <si>
    <t>Belgique</t>
  </si>
  <si>
    <t>Sénégal</t>
  </si>
  <si>
    <t>Chine</t>
  </si>
  <si>
    <t>Indonésie</t>
  </si>
  <si>
    <t>Singapour</t>
  </si>
  <si>
    <t>Conserves de poissons</t>
  </si>
  <si>
    <t>Portugal</t>
  </si>
  <si>
    <t>Total importations</t>
  </si>
  <si>
    <t>Afrique</t>
  </si>
  <si>
    <t>UMA</t>
  </si>
  <si>
    <t>Autres UMA</t>
  </si>
  <si>
    <t>CEDEAO</t>
  </si>
  <si>
    <t>Mali</t>
  </si>
  <si>
    <t>Autres CEDEAO</t>
  </si>
  <si>
    <t>Autres Afrique</t>
  </si>
  <si>
    <t>Asie</t>
  </si>
  <si>
    <t>Australie</t>
  </si>
  <si>
    <t>Vietnam</t>
  </si>
  <si>
    <t>Malaisie</t>
  </si>
  <si>
    <t>Autres Asie</t>
  </si>
  <si>
    <t>Moyen-Orient</t>
  </si>
  <si>
    <t>Liban</t>
  </si>
  <si>
    <t>Europe</t>
  </si>
  <si>
    <t>Suisse</t>
  </si>
  <si>
    <t>Italie</t>
  </si>
  <si>
    <t>Pologne</t>
  </si>
  <si>
    <t>Autres Europe</t>
  </si>
  <si>
    <t>Amérique</t>
  </si>
  <si>
    <t>Canada</t>
  </si>
  <si>
    <t>États-Unis</t>
  </si>
  <si>
    <t>Argentine</t>
  </si>
  <si>
    <t>Autres Amérique</t>
  </si>
  <si>
    <t>Autres Pays</t>
  </si>
  <si>
    <t>Total exportations</t>
  </si>
  <si>
    <t>Minerais de fer</t>
  </si>
  <si>
    <t>Minerais de cuivre</t>
  </si>
  <si>
    <t>Or</t>
  </si>
  <si>
    <t>Poissons frais ou congélés</t>
  </si>
  <si>
    <t>Farine de poissons</t>
  </si>
  <si>
    <t>Huiles de poissons</t>
  </si>
  <si>
    <t>Poissons salés, séchés ou fumés</t>
  </si>
  <si>
    <t>Autres Produits exportés</t>
  </si>
  <si>
    <t>Congélation à bord</t>
  </si>
  <si>
    <t xml:space="preserve">Tonnes </t>
  </si>
  <si>
    <t>16 722</t>
  </si>
  <si>
    <t>Congélation à terre</t>
  </si>
  <si>
    <t>Ensemble</t>
  </si>
  <si>
    <t>Unité : tonnes</t>
  </si>
  <si>
    <t>Total</t>
  </si>
  <si>
    <t>Démersaux</t>
  </si>
  <si>
    <t>Pélagiques</t>
  </si>
  <si>
    <t>Crustacés</t>
  </si>
  <si>
    <t>Poutargue</t>
  </si>
  <si>
    <t>Poulpes</t>
  </si>
  <si>
    <t>Seiches</t>
  </si>
  <si>
    <t>137 576,64</t>
  </si>
  <si>
    <t>144 544,10</t>
  </si>
  <si>
    <t>17 226,60</t>
  </si>
  <si>
    <t>22 427,00</t>
  </si>
  <si>
    <t>5 844,53</t>
  </si>
  <si>
    <t>12 083,00</t>
  </si>
  <si>
    <t>6 979,04</t>
  </si>
  <si>
    <t>7 303,37</t>
  </si>
  <si>
    <t>9 848,73</t>
  </si>
  <si>
    <t>7 077,63</t>
  </si>
  <si>
    <t>Côte d'Ivoire</t>
  </si>
  <si>
    <t>2 700,39</t>
  </si>
  <si>
    <t>3 773,49</t>
  </si>
  <si>
    <t>5 076,91</t>
  </si>
  <si>
    <t>2 529,10</t>
  </si>
  <si>
    <t>Ghana</t>
  </si>
  <si>
    <t>1 052,23</t>
  </si>
  <si>
    <t>Guinée</t>
  </si>
  <si>
    <t>Nigéria</t>
  </si>
  <si>
    <t>1 240,20</t>
  </si>
  <si>
    <t>1 742,66</t>
  </si>
  <si>
    <t>1 849,24</t>
  </si>
  <si>
    <t>2 159,45</t>
  </si>
  <si>
    <t>1 198,57</t>
  </si>
  <si>
    <t>1 533,33</t>
  </si>
  <si>
    <t>3 266,38</t>
  </si>
  <si>
    <t>43 689,52</t>
  </si>
  <si>
    <t>44 265,93</t>
  </si>
  <si>
    <t>4 548,21</t>
  </si>
  <si>
    <t>8 060,46</t>
  </si>
  <si>
    <t>6 709,83</t>
  </si>
  <si>
    <t>5 127,36</t>
  </si>
  <si>
    <t>35 693,83</t>
  </si>
  <si>
    <t>48 519,07</t>
  </si>
  <si>
    <t>31 737,61</t>
  </si>
  <si>
    <t>33 629,67</t>
  </si>
  <si>
    <t>2 762,98</t>
  </si>
  <si>
    <t>4 309,23</t>
  </si>
  <si>
    <t>3 329,00</t>
  </si>
  <si>
    <t>3 821,57</t>
  </si>
  <si>
    <t>1 321,80</t>
  </si>
  <si>
    <t>8 357,75</t>
  </si>
  <si>
    <t>7 179,07</t>
  </si>
  <si>
    <t>8 327,23</t>
  </si>
  <si>
    <t>7 176,15</t>
  </si>
  <si>
    <t xml:space="preserve">Autres </t>
  </si>
  <si>
    <t>41 517,65</t>
  </si>
  <si>
    <t>35 031,49</t>
  </si>
  <si>
    <t>19 294,78</t>
  </si>
  <si>
    <t>31 611,75</t>
  </si>
  <si>
    <t>29 254,04</t>
  </si>
  <si>
    <t>22 423,70</t>
  </si>
  <si>
    <t>6 914,55</t>
  </si>
  <si>
    <t>11 147,55</t>
  </si>
  <si>
    <t>15 143,62</t>
  </si>
  <si>
    <t>8 954,32</t>
  </si>
  <si>
    <t>1 619,86</t>
  </si>
  <si>
    <t>1 764,68</t>
  </si>
  <si>
    <t>2 925,08</t>
  </si>
  <si>
    <t>2 519,24</t>
  </si>
  <si>
    <t>3 048,41</t>
  </si>
  <si>
    <t>3 334,35</t>
  </si>
  <si>
    <t>3 633,46</t>
  </si>
  <si>
    <t>1 430,94</t>
  </si>
  <si>
    <t>1 230,77</t>
  </si>
  <si>
    <t>1 127,27</t>
  </si>
  <si>
    <t>Grèce</t>
  </si>
  <si>
    <t>4 787,47</t>
  </si>
  <si>
    <t>12 526,38</t>
  </si>
  <si>
    <t>6 952,03</t>
  </si>
  <si>
    <t>5 513,68</t>
  </si>
  <si>
    <t>Suède</t>
  </si>
  <si>
    <t>Autres UE</t>
  </si>
  <si>
    <t>Royaume-Uni</t>
  </si>
  <si>
    <t>1 151,23</t>
  </si>
  <si>
    <t>Norvège</t>
  </si>
  <si>
    <t>Ukraine</t>
  </si>
  <si>
    <t>17 981,47</t>
  </si>
  <si>
    <t>9 841,74</t>
  </si>
  <si>
    <t>10 748,00</t>
  </si>
  <si>
    <t>3 575,44</t>
  </si>
  <si>
    <t>1 826,83</t>
  </si>
  <si>
    <t>26 784,96</t>
  </si>
  <si>
    <t>35 640,01</t>
  </si>
  <si>
    <t>10 523,96</t>
  </si>
  <si>
    <t>11 568,37</t>
  </si>
  <si>
    <t>26 118,67</t>
  </si>
  <si>
    <t>34 477,35</t>
  </si>
  <si>
    <t>1 013,62</t>
  </si>
  <si>
    <t>Biens d'équipement</t>
  </si>
  <si>
    <t>Matériaux de construction</t>
  </si>
  <si>
    <t>Russie</t>
  </si>
  <si>
    <t>Autres produits alimentaires</t>
  </si>
  <si>
    <t>Mollusques</t>
  </si>
  <si>
    <t>Céphalopodes</t>
  </si>
  <si>
    <t>Calamars</t>
  </si>
  <si>
    <t>République de Corée</t>
  </si>
  <si>
    <t>Taïwan</t>
  </si>
  <si>
    <t>Tableau 4.3.1 : Taux de change du dollar américain (USD) en ouguiya (MRU)</t>
  </si>
  <si>
    <t>Tableau 4.3.2 : Taux de change de l’euro (EUR) en ouguiya (MRU)</t>
  </si>
  <si>
    <t>Tableau 4.3.3 : Taux de change de 1 000 FCFA exprimé en ouguiyas (MRU)</t>
  </si>
  <si>
    <t>BCM</t>
  </si>
  <si>
    <t>Tableau 4.3.4 : Taux de change du yen (JPY) en ouguiya (MRU)</t>
  </si>
  <si>
    <t>Tableau 4.3.10 : Exportations des produits de la pêche par types de congélation</t>
  </si>
  <si>
    <t>Tableau 4.3.11 : Exportations annuelles de la SMCP par espèces, en quantité et en valeur</t>
  </si>
  <si>
    <r>
      <t xml:space="preserve">Unité : </t>
    </r>
    <r>
      <rPr>
        <i/>
        <sz val="18"/>
        <rFont val="Sakkal Majalla"/>
      </rPr>
      <t>en milliers de USD</t>
    </r>
  </si>
  <si>
    <t>Milliers de USD</t>
  </si>
  <si>
    <t>Céréales transformées</t>
  </si>
  <si>
    <t>Farine de blé</t>
  </si>
  <si>
    <t>Huiles et graisses animales</t>
  </si>
  <si>
    <t>Œufs d'oiseaux</t>
  </si>
  <si>
    <t>Sel, y compris le sel préparé pour la table</t>
  </si>
  <si>
    <t>Union européenne</t>
  </si>
  <si>
    <t>Pays-Bas</t>
  </si>
  <si>
    <t>Émirats arabes unis</t>
  </si>
  <si>
    <t>Arabie saoudite</t>
  </si>
  <si>
    <t xml:space="preserve">République de Corée  </t>
  </si>
  <si>
    <t>Union euroépenne</t>
  </si>
  <si>
    <t>Tableau 4.3.9 : Exportations de la Mauritanie selon la destination (Millions de MRU)</t>
  </si>
  <si>
    <t>Tableau 4.3.8 : Exportations mauritaniennes par types de produits (Millions de MRU)</t>
  </si>
  <si>
    <t>DGD/SYDONIA</t>
  </si>
  <si>
    <t>SMCP</t>
  </si>
  <si>
    <t>Tableau 4.3.7 : Importations des produits alimentaires (Millions de MRU)</t>
  </si>
  <si>
    <t>Tableau 4.3.6 : Importations de la Mauritanie selon la provenance (Millions de MRU)</t>
  </si>
  <si>
    <t>Tableau 4.3.5 : Importations de la Mauritanie par type de produits (Millions de MRU)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</si>
</sst>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#,##0.0_ ;\-#,##0.0\ "/>
    <numFmt numFmtId="167" formatCode="_-* #,##0.00\ _€_-;\-* #,##0.00\ _€_-;_-* &quot;-&quot;??\ _€_-;_-@_-"/>
    <numFmt numFmtId="168" formatCode="General_)"/>
    <numFmt numFmtId="169" formatCode="_-* #,##0\ _F_-;\-* #,##0\ _F_-;_-* &quot;-&quot;\ _F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sz val="14"/>
      <color theme="1"/>
      <name val="Sakkal Majalla"/>
    </font>
    <font>
      <sz val="18"/>
      <color theme="1"/>
      <name val="Sakkal Majalla"/>
    </font>
    <font>
      <b/>
      <sz val="18"/>
      <color theme="0"/>
      <name val="Sakkal Majalla"/>
    </font>
    <font>
      <sz val="10"/>
      <name val="Arial"/>
      <family val="2"/>
    </font>
    <font>
      <b/>
      <sz val="18"/>
      <name val="Sakkal Majalla"/>
    </font>
    <font>
      <sz val="10"/>
      <name val="MS Sans Serif"/>
      <family val="2"/>
    </font>
    <font>
      <b/>
      <sz val="18"/>
      <name val="Arabic Typesetting"/>
      <family val="4"/>
    </font>
    <font>
      <b/>
      <sz val="10"/>
      <name val="Sakkal Majalla"/>
    </font>
    <font>
      <b/>
      <i/>
      <sz val="10"/>
      <name val="Sakkal Majalla"/>
    </font>
    <font>
      <b/>
      <sz val="10"/>
      <name val="Arabic Typesetting"/>
      <family val="4"/>
    </font>
    <font>
      <sz val="18"/>
      <name val="Sakkal Majalla"/>
    </font>
    <font>
      <sz val="18"/>
      <color theme="1"/>
      <name val="Arabic Typesetting"/>
      <family val="4"/>
    </font>
    <font>
      <b/>
      <sz val="18"/>
      <color theme="1"/>
      <name val="Sakkal Majalla"/>
    </font>
    <font>
      <sz val="18"/>
      <name val="Arabic Typesetting"/>
      <family val="4"/>
    </font>
    <font>
      <b/>
      <i/>
      <sz val="18"/>
      <name val="Sakkal Majalla"/>
    </font>
    <font>
      <sz val="10"/>
      <name val="Courier"/>
      <family val="3"/>
    </font>
    <font>
      <b/>
      <sz val="11"/>
      <name val="Times New Roman"/>
      <family val="1"/>
    </font>
    <font>
      <i/>
      <sz val="18"/>
      <name val="Sakkal Majalla"/>
    </font>
    <font>
      <b/>
      <sz val="12"/>
      <name val="Times New Roman"/>
      <family val="1"/>
    </font>
    <font>
      <b/>
      <sz val="16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0" fontId="6" fillId="0" borderId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8" fillId="0" borderId="0"/>
    <xf numFmtId="0" fontId="6" fillId="0" borderId="0"/>
    <xf numFmtId="169" fontId="18" fillId="0" borderId="0"/>
    <xf numFmtId="0" fontId="6" fillId="0" borderId="0"/>
    <xf numFmtId="40" fontId="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2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2" fontId="4" fillId="0" borderId="1" xfId="0" applyNumberFormat="1" applyFont="1" applyBorder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center" vertical="top"/>
    </xf>
    <xf numFmtId="0" fontId="5" fillId="2" borderId="7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7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7" fillId="0" borderId="1" xfId="1" applyFont="1" applyBorder="1"/>
    <xf numFmtId="0" fontId="9" fillId="0" borderId="9" xfId="1" applyFont="1" applyBorder="1" applyAlignment="1">
      <alignment vertical="top"/>
    </xf>
    <xf numFmtId="164" fontId="4" fillId="0" borderId="1" xfId="4" applyNumberFormat="1" applyFont="1" applyFill="1" applyBorder="1" applyAlignment="1">
      <alignment vertical="top"/>
    </xf>
    <xf numFmtId="0" fontId="7" fillId="0" borderId="1" xfId="1" applyFont="1" applyBorder="1" applyAlignment="1">
      <alignment vertical="top"/>
    </xf>
    <xf numFmtId="164" fontId="4" fillId="0" borderId="10" xfId="4" applyNumberFormat="1" applyFont="1" applyFill="1" applyBorder="1" applyAlignment="1">
      <alignment vertical="top"/>
    </xf>
    <xf numFmtId="0" fontId="12" fillId="0" borderId="0" xfId="3" applyFont="1" applyAlignment="1">
      <alignment horizontal="right" vertical="center"/>
    </xf>
    <xf numFmtId="0" fontId="4" fillId="0" borderId="0" xfId="1" applyFont="1"/>
    <xf numFmtId="0" fontId="7" fillId="0" borderId="8" xfId="3" applyFont="1" applyBorder="1" applyAlignment="1">
      <alignment horizontal="right" vertical="center"/>
    </xf>
    <xf numFmtId="0" fontId="4" fillId="0" borderId="8" xfId="1" applyFont="1" applyBorder="1"/>
    <xf numFmtId="0" fontId="4" fillId="0" borderId="1" xfId="1" applyFont="1" applyBorder="1" applyAlignment="1">
      <alignment horizontal="left"/>
    </xf>
    <xf numFmtId="0" fontId="15" fillId="0" borderId="1" xfId="0" applyFont="1" applyBorder="1"/>
    <xf numFmtId="0" fontId="14" fillId="0" borderId="1" xfId="1" applyFont="1" applyBorder="1" applyAlignment="1">
      <alignment horizontal="right" vertical="top"/>
    </xf>
    <xf numFmtId="0" fontId="7" fillId="0" borderId="0" xfId="2" applyFont="1"/>
    <xf numFmtId="166" fontId="4" fillId="0" borderId="1" xfId="4" applyNumberFormat="1" applyFont="1" applyBorder="1"/>
    <xf numFmtId="0" fontId="13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left"/>
    </xf>
    <xf numFmtId="166" fontId="4" fillId="0" borderId="1" xfId="1" applyNumberFormat="1" applyFont="1" applyBorder="1"/>
    <xf numFmtId="0" fontId="4" fillId="0" borderId="0" xfId="1" applyFont="1" applyAlignment="1">
      <alignment horizontal="left" indent="1"/>
    </xf>
    <xf numFmtId="0" fontId="14" fillId="0" borderId="0" xfId="1" applyFont="1" applyAlignment="1">
      <alignment horizontal="right" vertical="top" indent="1"/>
    </xf>
    <xf numFmtId="167" fontId="4" fillId="0" borderId="0" xfId="1" applyNumberFormat="1" applyFont="1"/>
    <xf numFmtId="165" fontId="4" fillId="0" borderId="0" xfId="4" applyNumberFormat="1" applyFont="1" applyBorder="1"/>
    <xf numFmtId="168" fontId="7" fillId="0" borderId="0" xfId="7" applyNumberFormat="1" applyFont="1" applyAlignment="1">
      <alignment horizontal="left" vertical="center"/>
    </xf>
    <xf numFmtId="0" fontId="10" fillId="0" borderId="0" xfId="8" applyFont="1" applyAlignment="1">
      <alignment horizontal="left" vertical="center"/>
    </xf>
    <xf numFmtId="1" fontId="9" fillId="0" borderId="0" xfId="7" applyNumberFormat="1" applyFont="1" applyAlignment="1">
      <alignment horizontal="right" vertical="center"/>
    </xf>
    <xf numFmtId="168" fontId="13" fillId="0" borderId="1" xfId="7" applyNumberFormat="1" applyFont="1" applyBorder="1" applyAlignment="1">
      <alignment horizontal="left" vertical="center"/>
    </xf>
    <xf numFmtId="0" fontId="13" fillId="0" borderId="1" xfId="7" applyFont="1" applyBorder="1" applyAlignment="1">
      <alignment horizontal="right"/>
    </xf>
    <xf numFmtId="3" fontId="13" fillId="0" borderId="1" xfId="7" applyNumberFormat="1" applyFont="1" applyBorder="1" applyAlignment="1">
      <alignment horizontal="right" vertical="center"/>
    </xf>
    <xf numFmtId="168" fontId="13" fillId="0" borderId="1" xfId="9" applyNumberFormat="1" applyFont="1" applyBorder="1" applyAlignment="1">
      <alignment horizontal="left" vertical="center"/>
    </xf>
    <xf numFmtId="168" fontId="13" fillId="0" borderId="1" xfId="9" applyNumberFormat="1" applyFont="1" applyBorder="1" applyAlignment="1">
      <alignment horizontal="right" vertical="center" indent="1"/>
    </xf>
    <xf numFmtId="0" fontId="0" fillId="0" borderId="1" xfId="0" applyBorder="1" applyAlignment="1">
      <alignment horizontal="right"/>
    </xf>
    <xf numFmtId="168" fontId="13" fillId="0" borderId="1" xfId="7" applyNumberFormat="1" applyFont="1" applyBorder="1" applyAlignment="1">
      <alignment horizontal="right" vertical="center"/>
    </xf>
    <xf numFmtId="3" fontId="13" fillId="0" borderId="1" xfId="7" applyNumberFormat="1" applyFont="1" applyBorder="1" applyAlignment="1">
      <alignment horizontal="right"/>
    </xf>
    <xf numFmtId="0" fontId="13" fillId="0" borderId="0" xfId="7" applyFont="1" applyAlignment="1">
      <alignment horizontal="right"/>
    </xf>
    <xf numFmtId="0" fontId="19" fillId="0" borderId="0" xfId="8" applyFont="1" applyAlignment="1">
      <alignment vertical="center"/>
    </xf>
    <xf numFmtId="0" fontId="13" fillId="0" borderId="12" xfId="8" applyFont="1" applyBorder="1" applyAlignment="1">
      <alignment horizontal="left"/>
    </xf>
    <xf numFmtId="1" fontId="16" fillId="0" borderId="13" xfId="7" applyNumberFormat="1" applyFont="1" applyBorder="1" applyAlignment="1">
      <alignment horizontal="left"/>
    </xf>
    <xf numFmtId="0" fontId="13" fillId="0" borderId="13" xfId="8" applyFont="1" applyBorder="1" applyAlignment="1">
      <alignment horizontal="left" indent="2"/>
    </xf>
    <xf numFmtId="3" fontId="13" fillId="0" borderId="14" xfId="8" applyNumberFormat="1" applyFont="1" applyBorder="1" applyAlignment="1">
      <alignment horizontal="center"/>
    </xf>
    <xf numFmtId="3" fontId="13" fillId="0" borderId="1" xfId="8" applyNumberFormat="1" applyFont="1" applyBorder="1" applyAlignment="1">
      <alignment horizontal="right" vertical="justify"/>
    </xf>
    <xf numFmtId="0" fontId="13" fillId="0" borderId="1" xfId="8" applyFont="1" applyBorder="1" applyAlignment="1">
      <alignment horizontal="left" vertical="center"/>
    </xf>
    <xf numFmtId="3" fontId="13" fillId="0" borderId="1" xfId="8" applyNumberFormat="1" applyFont="1" applyBorder="1" applyAlignment="1">
      <alignment vertical="justify"/>
    </xf>
    <xf numFmtId="0" fontId="13" fillId="0" borderId="1" xfId="8" applyFont="1" applyBorder="1" applyAlignment="1">
      <alignment horizontal="left" vertical="center" indent="1"/>
    </xf>
    <xf numFmtId="164" fontId="13" fillId="0" borderId="1" xfId="8" applyNumberFormat="1" applyFont="1" applyBorder="1" applyAlignment="1">
      <alignment horizontal="left" vertical="center"/>
    </xf>
    <xf numFmtId="164" fontId="13" fillId="0" borderId="1" xfId="8" applyNumberFormat="1" applyFont="1" applyBorder="1" applyAlignment="1">
      <alignment horizontal="left" vertical="center" indent="1"/>
    </xf>
    <xf numFmtId="0" fontId="13" fillId="0" borderId="1" xfId="8" applyFont="1" applyBorder="1" applyAlignment="1">
      <alignment horizontal="left" vertical="center" indent="2"/>
    </xf>
    <xf numFmtId="3" fontId="13" fillId="0" borderId="1" xfId="8" applyNumberFormat="1" applyFont="1" applyBorder="1" applyAlignment="1">
      <alignment horizontal="right" vertical="center"/>
    </xf>
    <xf numFmtId="0" fontId="13" fillId="0" borderId="1" xfId="8" applyFont="1" applyBorder="1" applyAlignment="1">
      <alignment horizontal="center" vertical="center"/>
    </xf>
    <xf numFmtId="0" fontId="21" fillId="0" borderId="0" xfId="6" applyFont="1"/>
    <xf numFmtId="0" fontId="22" fillId="0" borderId="9" xfId="0" applyFont="1" applyBorder="1"/>
    <xf numFmtId="0" fontId="22" fillId="0" borderId="1" xfId="0" applyFont="1" applyBorder="1"/>
    <xf numFmtId="0" fontId="22" fillId="0" borderId="1" xfId="0" applyFont="1" applyBorder="1" applyAlignment="1">
      <alignment horizontal="left"/>
    </xf>
    <xf numFmtId="0" fontId="22" fillId="0" borderId="10" xfId="0" applyFont="1" applyBorder="1" applyAlignment="1">
      <alignment horizontal="right" vertical="center"/>
    </xf>
    <xf numFmtId="0" fontId="22" fillId="0" borderId="1" xfId="12" applyNumberFormat="1" applyFont="1" applyBorder="1" applyAlignment="1">
      <alignment horizontal="right"/>
    </xf>
    <xf numFmtId="164" fontId="22" fillId="0" borderId="9" xfId="0" applyNumberFormat="1" applyFont="1" applyBorder="1" applyAlignment="1">
      <alignment horizontal="right"/>
    </xf>
    <xf numFmtId="0" fontId="11" fillId="0" borderId="0" xfId="8" applyFont="1" applyAlignment="1">
      <alignment horizontal="left" vertical="center"/>
    </xf>
    <xf numFmtId="0" fontId="17" fillId="0" borderId="0" xfId="8" applyFont="1" applyAlignment="1">
      <alignment horizontal="left" vertical="center"/>
    </xf>
    <xf numFmtId="0" fontId="15" fillId="0" borderId="1" xfId="0" applyFont="1" applyBorder="1" applyAlignment="1">
      <alignment horizontal="center"/>
    </xf>
    <xf numFmtId="0" fontId="15" fillId="0" borderId="15" xfId="0" applyFont="1" applyBorder="1"/>
    <xf numFmtId="0" fontId="15" fillId="0" borderId="16" xfId="0" applyFont="1" applyBorder="1" applyAlignment="1">
      <alignment horizontal="right" vertical="center"/>
    </xf>
    <xf numFmtId="0" fontId="15" fillId="0" borderId="15" xfId="12" applyNumberFormat="1" applyFont="1" applyBorder="1"/>
    <xf numFmtId="164" fontId="15" fillId="0" borderId="1" xfId="12" applyNumberFormat="1" applyFont="1" applyBorder="1" applyAlignment="1">
      <alignment horizontal="right"/>
    </xf>
    <xf numFmtId="0" fontId="15" fillId="0" borderId="1" xfId="12" applyNumberFormat="1" applyFont="1" applyBorder="1"/>
    <xf numFmtId="164" fontId="15" fillId="0" borderId="1" xfId="0" applyNumberFormat="1" applyFont="1" applyBorder="1" applyAlignment="1">
      <alignment horizontal="right"/>
    </xf>
    <xf numFmtId="164" fontId="15" fillId="0" borderId="1" xfId="12" applyNumberFormat="1" applyFont="1" applyBorder="1" applyAlignment="1">
      <alignment horizontal="right" vertical="center"/>
    </xf>
    <xf numFmtId="164" fontId="15" fillId="0" borderId="1" xfId="0" applyNumberFormat="1" applyFont="1" applyBorder="1"/>
    <xf numFmtId="0" fontId="15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164" fontId="15" fillId="0" borderId="1" xfId="0" applyNumberFormat="1" applyFont="1" applyBorder="1" applyAlignment="1">
      <alignment horizontal="right" vertical="center"/>
    </xf>
    <xf numFmtId="165" fontId="15" fillId="0" borderId="1" xfId="12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left" indent="1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12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indent="2"/>
    </xf>
    <xf numFmtId="165" fontId="4" fillId="0" borderId="11" xfId="12" applyNumberFormat="1" applyFont="1" applyBorder="1" applyAlignment="1">
      <alignment horizontal="right" vertical="center"/>
    </xf>
    <xf numFmtId="164" fontId="22" fillId="0" borderId="1" xfId="12" applyNumberFormat="1" applyFont="1" applyBorder="1" applyAlignment="1">
      <alignment horizontal="right"/>
    </xf>
    <xf numFmtId="4" fontId="22" fillId="0" borderId="1" xfId="12" applyNumberFormat="1" applyFont="1" applyBorder="1"/>
    <xf numFmtId="4" fontId="22" fillId="0" borderId="1" xfId="12" applyNumberFormat="1" applyFont="1" applyBorder="1" applyAlignment="1">
      <alignment horizontal="right"/>
    </xf>
  </cellXfs>
  <cellStyles count="13">
    <cellStyle name="Milliers" xfId="12" builtinId="3"/>
    <cellStyle name="Milliers 2 3" xfId="4" xr:uid="{E985AACB-E036-418D-B60E-5D4C6E36D1E4}"/>
    <cellStyle name="Milliers 3" xfId="11" xr:uid="{89C22BD4-0C2B-4F46-B136-AE7747924883}"/>
    <cellStyle name="Milliers 7 2" xfId="5" xr:uid="{6513A143-364D-47C0-8786-4F14689E70A6}"/>
    <cellStyle name="Normal" xfId="0" builtinId="0"/>
    <cellStyle name="Normal 14" xfId="9" xr:uid="{0F87C492-2C85-4283-9E7B-BFDFD455D344}"/>
    <cellStyle name="Normal 2 4" xfId="10" xr:uid="{63227203-BF31-4500-B543-9048415AD941}"/>
    <cellStyle name="Normal 3 2 2" xfId="1" xr:uid="{6B80FA80-C920-4476-8F9B-FC2FB0CFFA20}"/>
    <cellStyle name="Normal_Annuaire Bilingue 2003 ONS" xfId="3" xr:uid="{ADA2724E-501C-4E31-A4F5-B769B712FB58}"/>
    <cellStyle name="Normal_base de données mensuelle modif" xfId="8" xr:uid="{EC5FD547-920A-410C-8B26-C3ADC75DCE12}"/>
    <cellStyle name="Normal_Importation et exports par type de bien" xfId="2" xr:uid="{FD0597A2-BAA9-4BAB-AF2B-B4AB4DE4ECD9}"/>
    <cellStyle name="Normal_Importations selon l'origine 92-2004" xfId="6" xr:uid="{F9D0DA79-3842-4360-B6C8-18675B7BE3FB}"/>
    <cellStyle name="Normal_Pêche annuaire" xfId="7" xr:uid="{1ED84D99-4EE4-4797-B076-6FA20AA9706A}"/>
  </cellStyles>
  <dxfs count="0"/>
  <tableStyles count="1" defaultTableStyle="TableStyleMedium2" defaultPivotStyle="PivotStyleLight16">
    <tableStyle name="Invisible" pivot="0" table="0" count="0" xr9:uid="{7BA2D62D-7516-4641-A9FE-95B9DE4709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zein%20le%20statisticien/Mon%20travail%20de%20stage%20ANSADE/Exportation%20par%20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 par type"/>
      <sheetName val="Export SMCP pays"/>
    </sheetNames>
    <sheetDataSet>
      <sheetData sheetId="0" refreshError="1">
        <row r="5">
          <cell r="D5">
            <v>17122.666000000001</v>
          </cell>
          <cell r="F5">
            <v>67748.964000000007</v>
          </cell>
        </row>
        <row r="6">
          <cell r="D6">
            <v>309837.53899999999</v>
          </cell>
          <cell r="F6">
            <v>473963.38299999997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62F2-33CA-4BAB-9E83-B39B54BBB789}">
  <sheetPr>
    <tabColor rgb="FF92D050"/>
  </sheetPr>
  <dimension ref="A1:AE14"/>
  <sheetViews>
    <sheetView tabSelected="1" zoomScale="56" workbookViewId="0">
      <selection activeCell="D2" sqref="D2"/>
    </sheetView>
  </sheetViews>
  <sheetFormatPr baseColWidth="10" defaultRowHeight="15" x14ac:dyDescent="0.25"/>
  <cols>
    <col min="2" max="2" width="19.28515625" customWidth="1"/>
    <col min="9" max="9" width="24.85546875" customWidth="1"/>
    <col min="10" max="10" width="22.28515625" customWidth="1"/>
    <col min="14" max="14" width="15.28515625" customWidth="1"/>
    <col min="23" max="24" width="14.7109375" customWidth="1"/>
    <col min="31" max="31" width="15.28515625" customWidth="1"/>
  </cols>
  <sheetData>
    <row r="1" spans="1:31" ht="30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>
        <v>2004</v>
      </c>
      <c r="L1" s="2">
        <v>2005</v>
      </c>
      <c r="M1" s="2">
        <v>2006</v>
      </c>
      <c r="N1" s="2">
        <v>2007</v>
      </c>
      <c r="O1" s="2">
        <v>2008</v>
      </c>
      <c r="P1" s="2">
        <v>2009</v>
      </c>
      <c r="Q1" s="2">
        <v>2010</v>
      </c>
      <c r="R1" s="2">
        <v>2011</v>
      </c>
      <c r="S1" s="2">
        <v>2012</v>
      </c>
      <c r="T1" s="2">
        <v>2013</v>
      </c>
      <c r="U1" s="2">
        <v>2014</v>
      </c>
      <c r="V1" s="2">
        <v>2015</v>
      </c>
      <c r="W1" s="2">
        <v>2016</v>
      </c>
      <c r="X1" s="2">
        <v>2017</v>
      </c>
      <c r="Y1" s="2">
        <v>2018</v>
      </c>
      <c r="Z1" s="2">
        <v>2019</v>
      </c>
      <c r="AA1" s="2">
        <v>2020</v>
      </c>
      <c r="AB1" s="2">
        <v>2021</v>
      </c>
      <c r="AC1" s="2">
        <v>2022</v>
      </c>
      <c r="AD1" s="2">
        <v>2023</v>
      </c>
      <c r="AE1" s="2">
        <v>2024</v>
      </c>
    </row>
    <row r="2" spans="1:31" ht="27.75" x14ac:dyDescent="0.65">
      <c r="A2" s="3"/>
      <c r="B2" s="3" t="s">
        <v>10</v>
      </c>
      <c r="C2" s="3"/>
      <c r="D2" s="4" t="s">
        <v>223</v>
      </c>
      <c r="E2" s="3" t="s">
        <v>226</v>
      </c>
      <c r="F2" s="3">
        <v>1</v>
      </c>
      <c r="G2" s="3">
        <v>1</v>
      </c>
      <c r="H2" s="3"/>
      <c r="I2" s="5" t="s">
        <v>11</v>
      </c>
      <c r="J2" s="6" t="s">
        <v>12</v>
      </c>
      <c r="K2" s="6">
        <v>26.512999999999998</v>
      </c>
      <c r="L2" s="6">
        <v>25.901999999999997</v>
      </c>
      <c r="M2" s="6">
        <v>26.860000000000003</v>
      </c>
      <c r="N2" s="6">
        <v>26.860000000000003</v>
      </c>
      <c r="O2" s="6">
        <v>25</v>
      </c>
      <c r="P2" s="6">
        <v>25.9</v>
      </c>
      <c r="Q2" s="6">
        <v>26.169999999999998</v>
      </c>
      <c r="R2" s="6">
        <v>28.395999999999997</v>
      </c>
      <c r="S2" s="6">
        <v>29.04</v>
      </c>
      <c r="T2" s="6">
        <v>29.98</v>
      </c>
      <c r="U2" s="6">
        <v>30.05</v>
      </c>
      <c r="V2" s="6">
        <v>31.338999999999999</v>
      </c>
      <c r="W2" s="6">
        <v>34.052</v>
      </c>
      <c r="X2" s="6">
        <v>35.757999999999996</v>
      </c>
      <c r="Y2" s="6">
        <v>35.33</v>
      </c>
      <c r="Z2" s="6">
        <v>36.299999999999997</v>
      </c>
      <c r="AA2" s="6">
        <v>37.299999999999997</v>
      </c>
      <c r="AB2" s="6">
        <v>36.1</v>
      </c>
      <c r="AC2" s="6">
        <v>36.31</v>
      </c>
      <c r="AD2" s="6">
        <v>36.19</v>
      </c>
      <c r="AE2" s="6">
        <v>39.755000000000003</v>
      </c>
    </row>
    <row r="3" spans="1:31" ht="27.75" x14ac:dyDescent="0.65">
      <c r="A3" s="3"/>
      <c r="B3" s="3" t="s">
        <v>10</v>
      </c>
      <c r="C3" s="3"/>
      <c r="D3" s="4" t="s">
        <v>223</v>
      </c>
      <c r="E3" s="3" t="s">
        <v>226</v>
      </c>
      <c r="F3" s="3">
        <v>2</v>
      </c>
      <c r="G3" s="3">
        <v>2</v>
      </c>
      <c r="H3" s="3"/>
      <c r="I3" s="5" t="s">
        <v>13</v>
      </c>
      <c r="J3" s="6" t="s">
        <v>12</v>
      </c>
      <c r="K3" s="6">
        <v>26.530999999999999</v>
      </c>
      <c r="L3" s="6">
        <v>26.032</v>
      </c>
      <c r="M3" s="6">
        <v>26.860000000000003</v>
      </c>
      <c r="N3" s="6">
        <v>26.839999999999996</v>
      </c>
      <c r="O3" s="6">
        <v>25.09</v>
      </c>
      <c r="P3" s="6">
        <v>25.869999999999997</v>
      </c>
      <c r="Q3" s="6">
        <v>26.15</v>
      </c>
      <c r="R3" s="6">
        <v>28.220999999999997</v>
      </c>
      <c r="S3" s="6">
        <v>29.27</v>
      </c>
      <c r="T3" s="6">
        <v>29.860000000000003</v>
      </c>
      <c r="U3" s="6">
        <v>30.04</v>
      </c>
      <c r="V3" s="6">
        <v>31.250999999999998</v>
      </c>
      <c r="W3" s="6">
        <v>34.305999999999997</v>
      </c>
      <c r="X3" s="6">
        <v>35.805999999999997</v>
      </c>
      <c r="Y3" s="6">
        <v>35.17</v>
      </c>
      <c r="Z3" s="6">
        <v>36.42</v>
      </c>
      <c r="AA3" s="6">
        <v>37.270000000000003</v>
      </c>
      <c r="AB3" s="6">
        <v>35.9</v>
      </c>
      <c r="AC3" s="6">
        <v>36.31</v>
      </c>
      <c r="AD3" s="6">
        <v>35.08</v>
      </c>
      <c r="AE3" s="6">
        <v>40</v>
      </c>
    </row>
    <row r="4" spans="1:31" ht="27.75" x14ac:dyDescent="0.65">
      <c r="A4" s="3"/>
      <c r="B4" s="3" t="s">
        <v>10</v>
      </c>
      <c r="C4" s="3"/>
      <c r="D4" s="4" t="s">
        <v>223</v>
      </c>
      <c r="E4" s="3" t="s">
        <v>226</v>
      </c>
      <c r="F4" s="3">
        <v>3</v>
      </c>
      <c r="G4" s="3">
        <v>3</v>
      </c>
      <c r="H4" s="3"/>
      <c r="I4" s="5" t="s">
        <v>14</v>
      </c>
      <c r="J4" s="6" t="s">
        <v>12</v>
      </c>
      <c r="K4" s="6">
        <v>26.526999999999997</v>
      </c>
      <c r="L4" s="6">
        <v>26.207999999999998</v>
      </c>
      <c r="M4" s="6">
        <v>26.860000000000003</v>
      </c>
      <c r="N4" s="6">
        <v>26.85</v>
      </c>
      <c r="O4" s="6">
        <v>24.47</v>
      </c>
      <c r="P4" s="6">
        <v>26.369999999999997</v>
      </c>
      <c r="Q4" s="6">
        <v>26.439999999999998</v>
      </c>
      <c r="R4" s="6">
        <v>27.498000000000001</v>
      </c>
      <c r="S4" s="6">
        <v>29.3</v>
      </c>
      <c r="T4" s="6">
        <v>29.889999999999997</v>
      </c>
      <c r="U4" s="6">
        <v>29.919999999999998</v>
      </c>
      <c r="V4" s="6">
        <v>31.639999999999997</v>
      </c>
      <c r="W4" s="6">
        <v>34.774999999999999</v>
      </c>
      <c r="X4" s="6">
        <v>35.908000000000001</v>
      </c>
      <c r="Y4" s="6">
        <v>35.26</v>
      </c>
      <c r="Z4" s="6">
        <v>36.42</v>
      </c>
      <c r="AA4" s="6">
        <v>37.22</v>
      </c>
      <c r="AB4" s="6">
        <v>35.9</v>
      </c>
      <c r="AC4" s="6">
        <v>36.39</v>
      </c>
      <c r="AD4" s="6">
        <v>34.47</v>
      </c>
      <c r="AE4" s="6">
        <v>39.879999999999995</v>
      </c>
    </row>
    <row r="5" spans="1:31" ht="27.75" x14ac:dyDescent="0.65">
      <c r="A5" s="3"/>
      <c r="B5" s="3" t="s">
        <v>10</v>
      </c>
      <c r="C5" s="3"/>
      <c r="D5" s="4" t="s">
        <v>223</v>
      </c>
      <c r="E5" s="3" t="s">
        <v>226</v>
      </c>
      <c r="F5" s="3">
        <v>4</v>
      </c>
      <c r="G5" s="3">
        <v>4</v>
      </c>
      <c r="H5" s="3"/>
      <c r="I5" s="5" t="s">
        <v>15</v>
      </c>
      <c r="J5" s="6" t="s">
        <v>12</v>
      </c>
      <c r="K5" s="6">
        <v>26.610000000000003</v>
      </c>
      <c r="L5" s="6">
        <v>26.558</v>
      </c>
      <c r="M5" s="6">
        <v>26.860000000000003</v>
      </c>
      <c r="N5" s="6">
        <v>26.75</v>
      </c>
      <c r="O5" s="6">
        <v>24.11</v>
      </c>
      <c r="P5" s="6">
        <v>26.57</v>
      </c>
      <c r="Q5" s="6">
        <v>26.689999999999998</v>
      </c>
      <c r="R5" s="6">
        <v>27.26</v>
      </c>
      <c r="S5" s="6">
        <v>29.141000000000002</v>
      </c>
      <c r="T5" s="6">
        <v>29.97</v>
      </c>
      <c r="U5" s="6">
        <v>29.869999999999997</v>
      </c>
      <c r="V5" s="6">
        <v>31.892000000000003</v>
      </c>
      <c r="W5" s="6">
        <v>36.164000000000001</v>
      </c>
      <c r="X5" s="6">
        <v>35.947000000000003</v>
      </c>
      <c r="Y5" s="6">
        <v>35.39</v>
      </c>
      <c r="Z5" s="6">
        <v>36.49</v>
      </c>
      <c r="AA5" s="6">
        <v>37.340000000000003</v>
      </c>
      <c r="AB5" s="6">
        <v>35.9</v>
      </c>
      <c r="AC5" s="6">
        <v>36.42</v>
      </c>
      <c r="AD5" s="6">
        <v>34.22</v>
      </c>
      <c r="AE5" s="6">
        <v>39.64</v>
      </c>
    </row>
    <row r="6" spans="1:31" ht="27.75" x14ac:dyDescent="0.65">
      <c r="A6" s="3"/>
      <c r="B6" s="3" t="s">
        <v>10</v>
      </c>
      <c r="C6" s="3"/>
      <c r="D6" s="4" t="s">
        <v>223</v>
      </c>
      <c r="E6" s="3" t="s">
        <v>226</v>
      </c>
      <c r="F6" s="3">
        <v>5</v>
      </c>
      <c r="G6" s="3">
        <v>5</v>
      </c>
      <c r="H6" s="3"/>
      <c r="I6" s="5" t="s">
        <v>16</v>
      </c>
      <c r="J6" s="6" t="s">
        <v>12</v>
      </c>
      <c r="K6" s="6">
        <v>26.732999999999997</v>
      </c>
      <c r="L6" s="6">
        <v>26.512</v>
      </c>
      <c r="M6" s="6">
        <v>26.860000000000003</v>
      </c>
      <c r="N6" s="6">
        <v>26.05</v>
      </c>
      <c r="O6" s="6">
        <v>23.95</v>
      </c>
      <c r="P6" s="6">
        <v>26.74</v>
      </c>
      <c r="Q6" s="6">
        <v>27.160000000000004</v>
      </c>
      <c r="R6" s="6">
        <v>27.46</v>
      </c>
      <c r="S6" s="6">
        <v>29.314</v>
      </c>
      <c r="T6" s="6">
        <v>30.27</v>
      </c>
      <c r="U6" s="6">
        <v>29.919999999999998</v>
      </c>
      <c r="V6" s="6">
        <v>32.131</v>
      </c>
      <c r="W6" s="6">
        <v>35.344999999999999</v>
      </c>
      <c r="X6" s="6">
        <v>35.966999999999999</v>
      </c>
      <c r="Y6" s="6">
        <v>35.57</v>
      </c>
      <c r="Z6" s="6">
        <v>36.590000000000003</v>
      </c>
      <c r="AA6" s="6">
        <v>37.299999999999997</v>
      </c>
      <c r="AB6" s="6">
        <v>36</v>
      </c>
      <c r="AC6" s="6">
        <v>36.47</v>
      </c>
      <c r="AD6" s="6">
        <v>34.29</v>
      </c>
      <c r="AE6" s="6">
        <v>39.68</v>
      </c>
    </row>
    <row r="7" spans="1:31" ht="27.75" x14ac:dyDescent="0.65">
      <c r="A7" s="3"/>
      <c r="B7" s="3" t="s">
        <v>10</v>
      </c>
      <c r="C7" s="3"/>
      <c r="D7" s="4" t="s">
        <v>223</v>
      </c>
      <c r="E7" s="3" t="s">
        <v>226</v>
      </c>
      <c r="F7" s="3">
        <v>6</v>
      </c>
      <c r="G7" s="3">
        <v>6</v>
      </c>
      <c r="H7" s="3"/>
      <c r="I7" s="5" t="s">
        <v>17</v>
      </c>
      <c r="J7" s="6" t="s">
        <v>12</v>
      </c>
      <c r="K7" s="6">
        <v>26.605</v>
      </c>
      <c r="L7" s="6">
        <v>26.55</v>
      </c>
      <c r="M7" s="6">
        <v>26.860000000000003</v>
      </c>
      <c r="N7" s="6">
        <v>25.79</v>
      </c>
      <c r="O7" s="6">
        <v>23.6</v>
      </c>
      <c r="P7" s="6">
        <v>26.49</v>
      </c>
      <c r="Q7" s="6">
        <v>27.23</v>
      </c>
      <c r="R7" s="6">
        <v>27.629000000000001</v>
      </c>
      <c r="S7" s="6">
        <v>29.48</v>
      </c>
      <c r="T7" s="6">
        <v>30.360000000000003</v>
      </c>
      <c r="U7" s="6">
        <v>30</v>
      </c>
      <c r="V7" s="6">
        <v>32.458999999999996</v>
      </c>
      <c r="W7" s="6">
        <v>35.454999999999998</v>
      </c>
      <c r="X7" s="6">
        <v>35.972000000000001</v>
      </c>
      <c r="Y7" s="6">
        <v>35.630000000000003</v>
      </c>
      <c r="Z7" s="6">
        <v>36.67</v>
      </c>
      <c r="AA7" s="6">
        <v>37.549999999999997</v>
      </c>
      <c r="AB7" s="6">
        <v>36.1</v>
      </c>
      <c r="AC7" s="6">
        <v>36.42</v>
      </c>
      <c r="AD7" s="6">
        <v>34.42</v>
      </c>
      <c r="AE7" s="6">
        <v>39.365000000000002</v>
      </c>
    </row>
    <row r="8" spans="1:31" ht="27.75" x14ac:dyDescent="0.65">
      <c r="A8" s="3"/>
      <c r="B8" s="3" t="s">
        <v>10</v>
      </c>
      <c r="C8" s="3"/>
      <c r="D8" s="4" t="s">
        <v>223</v>
      </c>
      <c r="E8" s="3" t="s">
        <v>226</v>
      </c>
      <c r="F8" s="3">
        <v>7</v>
      </c>
      <c r="G8" s="3">
        <v>7</v>
      </c>
      <c r="H8" s="3"/>
      <c r="I8" s="5" t="s">
        <v>18</v>
      </c>
      <c r="J8" s="6" t="s">
        <v>12</v>
      </c>
      <c r="K8" s="6">
        <v>26.733999999999998</v>
      </c>
      <c r="L8" s="6">
        <v>26.55</v>
      </c>
      <c r="M8" s="6">
        <v>26.860000000000003</v>
      </c>
      <c r="N8" s="6">
        <v>25.6</v>
      </c>
      <c r="O8" s="6">
        <v>22.95</v>
      </c>
      <c r="P8" s="6">
        <v>26.389999999999997</v>
      </c>
      <c r="Q8" s="6">
        <v>28.389999999999997</v>
      </c>
      <c r="R8" s="6">
        <v>27.988999999999997</v>
      </c>
      <c r="S8" s="6">
        <v>27.931000000000001</v>
      </c>
      <c r="T8" s="6">
        <v>30.369999999999997</v>
      </c>
      <c r="U8" s="6">
        <v>30.03</v>
      </c>
      <c r="V8" s="6">
        <v>32.695999999999998</v>
      </c>
      <c r="W8" s="6">
        <v>35.475000000000001</v>
      </c>
      <c r="X8" s="6">
        <v>35.939</v>
      </c>
      <c r="Y8" s="6">
        <v>35.700000000000003</v>
      </c>
      <c r="Z8" s="6">
        <v>36.68</v>
      </c>
      <c r="AA8" s="6">
        <v>37.57</v>
      </c>
      <c r="AB8" s="6">
        <v>36.1</v>
      </c>
      <c r="AC8" s="6">
        <v>37.085000000000001</v>
      </c>
      <c r="AD8" s="6">
        <v>36.369999999999997</v>
      </c>
      <c r="AE8" s="6">
        <v>39.68</v>
      </c>
    </row>
    <row r="9" spans="1:31" ht="27.75" x14ac:dyDescent="0.65">
      <c r="A9" s="3"/>
      <c r="B9" s="3" t="s">
        <v>10</v>
      </c>
      <c r="C9" s="3"/>
      <c r="D9" s="4" t="s">
        <v>223</v>
      </c>
      <c r="E9" s="3" t="s">
        <v>226</v>
      </c>
      <c r="F9" s="3">
        <v>8</v>
      </c>
      <c r="G9" s="3">
        <v>8</v>
      </c>
      <c r="H9" s="3"/>
      <c r="I9" s="5" t="s">
        <v>19</v>
      </c>
      <c r="J9" s="6" t="s">
        <v>12</v>
      </c>
      <c r="K9" s="6">
        <v>26.71</v>
      </c>
      <c r="L9" s="6">
        <v>26.55</v>
      </c>
      <c r="M9" s="6">
        <v>26.860000000000003</v>
      </c>
      <c r="N9" s="6">
        <v>25.5</v>
      </c>
      <c r="O9" s="6">
        <v>22.84</v>
      </c>
      <c r="P9" s="6">
        <v>26.089999999999996</v>
      </c>
      <c r="Q9" s="6">
        <v>28.639999999999997</v>
      </c>
      <c r="R9" s="6">
        <v>28.345999999999997</v>
      </c>
      <c r="S9" s="6">
        <v>30.112000000000002</v>
      </c>
      <c r="T9" s="6">
        <v>30.380000000000003</v>
      </c>
      <c r="U9" s="6">
        <v>30.03</v>
      </c>
      <c r="V9" s="6">
        <v>32.762999999999998</v>
      </c>
      <c r="W9" s="6">
        <v>35.552</v>
      </c>
      <c r="X9" s="6">
        <v>35.781999999999996</v>
      </c>
      <c r="Y9" s="6">
        <v>35.78</v>
      </c>
      <c r="Z9" s="6">
        <v>36.61</v>
      </c>
      <c r="AA9" s="6">
        <v>37.200000000000003</v>
      </c>
      <c r="AB9" s="6">
        <v>36.1</v>
      </c>
      <c r="AC9" s="6">
        <v>37.685000000000002</v>
      </c>
      <c r="AD9" s="6">
        <v>37.83</v>
      </c>
      <c r="AE9" s="6">
        <v>39.700000000000003</v>
      </c>
    </row>
    <row r="10" spans="1:31" ht="27.75" x14ac:dyDescent="0.65">
      <c r="A10" s="3"/>
      <c r="B10" s="3" t="s">
        <v>10</v>
      </c>
      <c r="C10" s="3"/>
      <c r="D10" s="4" t="s">
        <v>223</v>
      </c>
      <c r="E10" s="3" t="s">
        <v>226</v>
      </c>
      <c r="F10" s="3">
        <v>9</v>
      </c>
      <c r="G10" s="3">
        <v>9</v>
      </c>
      <c r="H10" s="3"/>
      <c r="I10" s="5" t="s">
        <v>20</v>
      </c>
      <c r="J10" s="6" t="s">
        <v>12</v>
      </c>
      <c r="K10" s="6">
        <v>26.598000000000003</v>
      </c>
      <c r="L10" s="6">
        <v>26.55</v>
      </c>
      <c r="M10" s="6">
        <v>26.860000000000003</v>
      </c>
      <c r="N10" s="6">
        <v>25.619999999999997</v>
      </c>
      <c r="O10" s="6">
        <v>23.169999999999998</v>
      </c>
      <c r="P10" s="6">
        <v>26.03</v>
      </c>
      <c r="Q10" s="6">
        <v>28.580000000000002</v>
      </c>
      <c r="R10" s="6">
        <v>28.143000000000001</v>
      </c>
      <c r="S10" s="6">
        <v>30.191000000000003</v>
      </c>
      <c r="T10" s="6">
        <v>30.339999999999996</v>
      </c>
      <c r="U10" s="6">
        <v>30.189999999999998</v>
      </c>
      <c r="V10" s="6">
        <v>32.920999999999999</v>
      </c>
      <c r="W10" s="6">
        <v>35.634</v>
      </c>
      <c r="X10" s="6">
        <v>35.581000000000003</v>
      </c>
      <c r="Y10" s="6">
        <v>35.69</v>
      </c>
      <c r="Z10" s="6">
        <v>36.700000000000003</v>
      </c>
      <c r="AA10" s="6">
        <v>36.94</v>
      </c>
      <c r="AB10" s="6">
        <v>36.1</v>
      </c>
      <c r="AC10" s="6">
        <v>37.835000000000001</v>
      </c>
      <c r="AD10" s="6">
        <v>37.93</v>
      </c>
      <c r="AE10" s="6">
        <v>39.67</v>
      </c>
    </row>
    <row r="11" spans="1:31" ht="27.75" x14ac:dyDescent="0.65">
      <c r="A11" s="3"/>
      <c r="B11" s="3" t="s">
        <v>10</v>
      </c>
      <c r="C11" s="3"/>
      <c r="D11" s="4" t="s">
        <v>223</v>
      </c>
      <c r="E11" s="3" t="s">
        <v>226</v>
      </c>
      <c r="F11" s="3">
        <v>10</v>
      </c>
      <c r="G11" s="3">
        <v>10</v>
      </c>
      <c r="H11" s="3"/>
      <c r="I11" s="5" t="s">
        <v>21</v>
      </c>
      <c r="J11" s="6" t="s">
        <v>12</v>
      </c>
      <c r="K11" s="6">
        <v>26.536000000000001</v>
      </c>
      <c r="L11" s="6">
        <v>26.638999999999999</v>
      </c>
      <c r="M11" s="6">
        <v>26.860000000000003</v>
      </c>
      <c r="N11" s="6">
        <v>25.57</v>
      </c>
      <c r="O11" s="6">
        <v>24.45</v>
      </c>
      <c r="P11" s="6">
        <v>26.07</v>
      </c>
      <c r="Q11" s="6">
        <v>28.4</v>
      </c>
      <c r="R11" s="6">
        <v>28.901</v>
      </c>
      <c r="S11" s="6">
        <v>30.169999999999998</v>
      </c>
      <c r="T11" s="6">
        <v>30.05</v>
      </c>
      <c r="U11" s="6">
        <v>30.32</v>
      </c>
      <c r="V11" s="6">
        <v>33.280999999999999</v>
      </c>
      <c r="W11" s="6">
        <v>35.67</v>
      </c>
      <c r="X11" s="6">
        <v>35.5</v>
      </c>
      <c r="Y11" s="6">
        <v>35.79</v>
      </c>
      <c r="Z11" s="6">
        <v>37.03</v>
      </c>
      <c r="AA11" s="6">
        <v>36.93</v>
      </c>
      <c r="AB11" s="6">
        <v>36.1</v>
      </c>
      <c r="AC11" s="6">
        <v>37.838571428571434</v>
      </c>
      <c r="AD11" s="6">
        <v>38.14</v>
      </c>
      <c r="AE11" s="6">
        <v>39.739999999999995</v>
      </c>
    </row>
    <row r="12" spans="1:31" ht="27.75" x14ac:dyDescent="0.65">
      <c r="A12" s="3"/>
      <c r="B12" s="3" t="s">
        <v>10</v>
      </c>
      <c r="C12" s="3"/>
      <c r="D12" s="4" t="s">
        <v>223</v>
      </c>
      <c r="E12" s="3" t="s">
        <v>226</v>
      </c>
      <c r="F12" s="3">
        <v>11</v>
      </c>
      <c r="G12" s="3">
        <v>11</v>
      </c>
      <c r="H12" s="3"/>
      <c r="I12" s="5" t="s">
        <v>22</v>
      </c>
      <c r="J12" s="6" t="s">
        <v>12</v>
      </c>
      <c r="K12" s="6">
        <v>26.425999999999998</v>
      </c>
      <c r="L12" s="6">
        <v>26.860000000000003</v>
      </c>
      <c r="M12" s="6">
        <v>26.860000000000003</v>
      </c>
      <c r="N12" s="6">
        <v>25.080000000000002</v>
      </c>
      <c r="O12" s="6">
        <v>25.05</v>
      </c>
      <c r="P12" s="6">
        <v>26.15</v>
      </c>
      <c r="Q12" s="6">
        <v>28</v>
      </c>
      <c r="R12" s="6">
        <v>28.706</v>
      </c>
      <c r="S12" s="6">
        <v>29.85</v>
      </c>
      <c r="T12" s="6">
        <v>29.65</v>
      </c>
      <c r="U12" s="6">
        <v>30.5</v>
      </c>
      <c r="V12" s="6">
        <v>33.511000000000003</v>
      </c>
      <c r="W12" s="6">
        <v>35.691000000000003</v>
      </c>
      <c r="X12" s="6">
        <v>35.399000000000001</v>
      </c>
      <c r="Y12" s="6">
        <v>36.299999999999997</v>
      </c>
      <c r="Z12" s="6">
        <v>37.130000000000003</v>
      </c>
      <c r="AA12" s="6">
        <v>36.93</v>
      </c>
      <c r="AB12" s="6">
        <v>36.1</v>
      </c>
      <c r="AC12" s="6">
        <v>37.905238095238097</v>
      </c>
      <c r="AD12" s="6">
        <v>39.54</v>
      </c>
      <c r="AE12" s="6">
        <v>39.900000000000006</v>
      </c>
    </row>
    <row r="13" spans="1:31" ht="27.75" x14ac:dyDescent="0.65">
      <c r="A13" s="3"/>
      <c r="B13" s="3" t="s">
        <v>10</v>
      </c>
      <c r="C13" s="3"/>
      <c r="D13" s="4" t="s">
        <v>223</v>
      </c>
      <c r="E13" s="3" t="s">
        <v>226</v>
      </c>
      <c r="F13" s="3">
        <v>12</v>
      </c>
      <c r="G13" s="3">
        <v>12</v>
      </c>
      <c r="H13" s="3"/>
      <c r="I13" s="5" t="s">
        <v>23</v>
      </c>
      <c r="J13" s="6" t="s">
        <v>12</v>
      </c>
      <c r="K13" s="6">
        <v>25.874000000000002</v>
      </c>
      <c r="L13" s="6">
        <v>26.860000000000003</v>
      </c>
      <c r="M13" s="6">
        <v>26.860000000000003</v>
      </c>
      <c r="N13" s="6">
        <v>25.06</v>
      </c>
      <c r="O13" s="6">
        <v>25.660000000000004</v>
      </c>
      <c r="P13" s="6">
        <v>26.21</v>
      </c>
      <c r="Q13" s="6">
        <v>28.1</v>
      </c>
      <c r="R13" s="6">
        <v>28.792999999999999</v>
      </c>
      <c r="S13" s="6">
        <v>30.130000000000003</v>
      </c>
      <c r="T13" s="6">
        <v>29.7</v>
      </c>
      <c r="U13" s="6">
        <v>31.04</v>
      </c>
      <c r="V13" s="6">
        <v>33.722000000000001</v>
      </c>
      <c r="W13" s="6">
        <v>35.725999999999999</v>
      </c>
      <c r="X13" s="6">
        <v>35.433</v>
      </c>
      <c r="Y13" s="6">
        <v>36.33</v>
      </c>
      <c r="Z13" s="6">
        <v>37.26</v>
      </c>
      <c r="AA13" s="6">
        <v>36.33</v>
      </c>
      <c r="AB13" s="6">
        <v>36.299999999999997</v>
      </c>
      <c r="AC13" s="6">
        <v>37.369545454545452</v>
      </c>
      <c r="AD13" s="6">
        <v>39.61</v>
      </c>
      <c r="AE13" s="6">
        <v>39.840000000000003</v>
      </c>
    </row>
    <row r="14" spans="1:31" ht="27.75" x14ac:dyDescent="0.65">
      <c r="A14" s="3"/>
      <c r="B14" s="3" t="s">
        <v>10</v>
      </c>
      <c r="C14" s="3"/>
      <c r="D14" s="4" t="s">
        <v>223</v>
      </c>
      <c r="E14" s="3" t="s">
        <v>226</v>
      </c>
      <c r="F14" s="3">
        <v>13</v>
      </c>
      <c r="G14" s="3">
        <v>13</v>
      </c>
      <c r="H14" s="3"/>
      <c r="I14" s="5" t="s">
        <v>24</v>
      </c>
      <c r="J14" s="6" t="s">
        <v>12</v>
      </c>
      <c r="K14" s="6">
        <v>26.533083333333327</v>
      </c>
      <c r="L14" s="6">
        <v>26.480916666666662</v>
      </c>
      <c r="M14" s="6">
        <v>26.859999999999996</v>
      </c>
      <c r="N14" s="6">
        <v>25.964166666666664</v>
      </c>
      <c r="O14" s="6">
        <v>24.194999999999997</v>
      </c>
      <c r="P14" s="6">
        <v>26.240000000000002</v>
      </c>
      <c r="Q14" s="6">
        <v>27.495833333333334</v>
      </c>
      <c r="R14" s="6">
        <v>28.111833333333337</v>
      </c>
      <c r="S14" s="6">
        <v>29.494083333333336</v>
      </c>
      <c r="T14" s="6">
        <v>30.068333333333332</v>
      </c>
      <c r="U14" s="6">
        <v>30.159166666666664</v>
      </c>
      <c r="V14" s="6">
        <v>32.467166666666664</v>
      </c>
      <c r="W14" s="6">
        <v>35.320416666666667</v>
      </c>
      <c r="X14" s="6">
        <v>35.749333333333333</v>
      </c>
      <c r="Y14" s="6">
        <v>35.661666666666662</v>
      </c>
      <c r="Z14" s="6">
        <v>36.691666666666663</v>
      </c>
      <c r="AA14" s="6">
        <v>37.156666666666666</v>
      </c>
      <c r="AB14" s="6">
        <v>36.058333333333344</v>
      </c>
      <c r="AC14" s="6">
        <v>37.003196248196247</v>
      </c>
      <c r="AD14" s="6">
        <v>36.5</v>
      </c>
      <c r="AE14" s="6">
        <f>AVERAGE(AE2:AE13)</f>
        <v>39.737500000000004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EBE7-108D-4AF3-B6F5-83F4E4D489E1}">
  <sheetPr>
    <tabColor rgb="FF92D050"/>
  </sheetPr>
  <dimension ref="A1:AE14"/>
  <sheetViews>
    <sheetView zoomScale="52" workbookViewId="0">
      <selection activeCell="D2" sqref="D2"/>
    </sheetView>
  </sheetViews>
  <sheetFormatPr baseColWidth="10" defaultRowHeight="15" x14ac:dyDescent="0.25"/>
  <cols>
    <col min="9" max="9" width="24" customWidth="1"/>
  </cols>
  <sheetData>
    <row r="1" spans="1:31" ht="31.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>
        <v>2004</v>
      </c>
      <c r="L1" s="8">
        <v>2005</v>
      </c>
      <c r="M1" s="8">
        <v>2006</v>
      </c>
      <c r="N1" s="8">
        <v>2007</v>
      </c>
      <c r="O1" s="8">
        <v>2008</v>
      </c>
      <c r="P1" s="8">
        <v>2009</v>
      </c>
      <c r="Q1" s="8">
        <v>2010</v>
      </c>
      <c r="R1" s="8">
        <v>2011</v>
      </c>
      <c r="S1" s="8">
        <v>2012</v>
      </c>
      <c r="T1" s="8">
        <v>2013</v>
      </c>
      <c r="U1" s="8">
        <v>2014</v>
      </c>
      <c r="V1" s="8">
        <v>2015</v>
      </c>
      <c r="W1" s="8">
        <v>2016</v>
      </c>
      <c r="X1" s="8">
        <v>2017</v>
      </c>
      <c r="Y1" s="8">
        <v>2018</v>
      </c>
      <c r="Z1" s="8">
        <v>2019</v>
      </c>
      <c r="AA1" s="8">
        <v>2020</v>
      </c>
      <c r="AB1" s="8">
        <v>2021</v>
      </c>
      <c r="AC1" s="8">
        <v>2022</v>
      </c>
      <c r="AD1" s="8">
        <v>2023</v>
      </c>
      <c r="AE1" s="8">
        <v>2024</v>
      </c>
    </row>
    <row r="2" spans="1:31" ht="27.75" x14ac:dyDescent="0.65">
      <c r="B2" s="3" t="s">
        <v>10</v>
      </c>
      <c r="D2" s="4" t="s">
        <v>224</v>
      </c>
      <c r="E2" t="s">
        <v>226</v>
      </c>
      <c r="F2">
        <v>1</v>
      </c>
      <c r="G2">
        <v>1</v>
      </c>
      <c r="I2" s="5" t="s">
        <v>11</v>
      </c>
      <c r="J2" s="6" t="s">
        <v>12</v>
      </c>
      <c r="K2" s="6">
        <v>30.776</v>
      </c>
      <c r="L2" s="6">
        <v>33.936999999999998</v>
      </c>
      <c r="M2" s="6">
        <v>32.541000000000004</v>
      </c>
      <c r="N2" s="6">
        <v>34.950000000000003</v>
      </c>
      <c r="O2" s="6">
        <v>36.78</v>
      </c>
      <c r="P2" s="6">
        <v>34.519999999999996</v>
      </c>
      <c r="Q2" s="6">
        <v>37.410000000000004</v>
      </c>
      <c r="R2" s="6">
        <v>37.57</v>
      </c>
      <c r="S2" s="6">
        <v>37.450000000000003</v>
      </c>
      <c r="T2" s="6">
        <v>39.78</v>
      </c>
      <c r="U2" s="6">
        <v>40.980000000000004</v>
      </c>
      <c r="V2" s="6">
        <v>36.500999999999998</v>
      </c>
      <c r="W2" s="6">
        <v>36.999000000000002</v>
      </c>
      <c r="X2" s="6">
        <v>37.936</v>
      </c>
      <c r="Y2" s="6">
        <v>43.03</v>
      </c>
      <c r="Z2" s="6">
        <v>41.44</v>
      </c>
      <c r="AA2" s="6">
        <v>41.44</v>
      </c>
      <c r="AB2" s="6">
        <v>44</v>
      </c>
      <c r="AC2" s="6">
        <v>41.135000000000005</v>
      </c>
      <c r="AD2" s="6">
        <v>38.979999999999997</v>
      </c>
      <c r="AE2" s="6">
        <v>43.394999999999996</v>
      </c>
    </row>
    <row r="3" spans="1:31" ht="27.75" x14ac:dyDescent="0.65">
      <c r="B3" s="3" t="s">
        <v>10</v>
      </c>
      <c r="D3" s="4" t="s">
        <v>224</v>
      </c>
      <c r="E3" t="s">
        <v>226</v>
      </c>
      <c r="F3">
        <v>2</v>
      </c>
      <c r="G3">
        <v>2</v>
      </c>
      <c r="I3" s="5" t="s">
        <v>13</v>
      </c>
      <c r="J3" s="6" t="s">
        <v>12</v>
      </c>
      <c r="K3" s="6">
        <v>31.576999999999998</v>
      </c>
      <c r="L3" s="6">
        <v>33.887999999999998</v>
      </c>
      <c r="M3" s="6">
        <v>32.085000000000001</v>
      </c>
      <c r="N3" s="6">
        <v>35.06</v>
      </c>
      <c r="O3" s="6">
        <v>36.89</v>
      </c>
      <c r="P3" s="6">
        <v>33.18</v>
      </c>
      <c r="Q3" s="6">
        <v>38.549999999999997</v>
      </c>
      <c r="R3" s="6">
        <v>38.760000000000005</v>
      </c>
      <c r="S3" s="6">
        <v>38.660000000000004</v>
      </c>
      <c r="T3" s="6">
        <v>39.950000000000003</v>
      </c>
      <c r="U3" s="6">
        <v>40.989999999999995</v>
      </c>
      <c r="V3" s="6">
        <v>35.516000000000005</v>
      </c>
      <c r="W3" s="6">
        <v>38.093000000000004</v>
      </c>
      <c r="X3" s="6">
        <v>38.113999999999997</v>
      </c>
      <c r="Y3" s="6">
        <v>43.47</v>
      </c>
      <c r="Z3" s="6">
        <v>41.35</v>
      </c>
      <c r="AA3" s="6">
        <v>40.67</v>
      </c>
      <c r="AB3" s="6">
        <v>43.5</v>
      </c>
      <c r="AC3" s="6">
        <v>41.164999999999999</v>
      </c>
      <c r="AD3" s="6">
        <v>37.659999999999997</v>
      </c>
      <c r="AE3" s="6">
        <v>43.155000000000001</v>
      </c>
    </row>
    <row r="4" spans="1:31" ht="27.75" x14ac:dyDescent="0.65">
      <c r="B4" s="3" t="s">
        <v>10</v>
      </c>
      <c r="D4" s="4" t="s">
        <v>224</v>
      </c>
      <c r="E4" t="s">
        <v>226</v>
      </c>
      <c r="F4">
        <v>3</v>
      </c>
      <c r="G4">
        <v>3</v>
      </c>
      <c r="I4" s="5" t="s">
        <v>14</v>
      </c>
      <c r="J4" s="6" t="s">
        <v>12</v>
      </c>
      <c r="K4" s="6">
        <v>32.180999999999997</v>
      </c>
      <c r="L4" s="6">
        <v>34.603999999999999</v>
      </c>
      <c r="M4" s="6">
        <v>32.301000000000002</v>
      </c>
      <c r="N4" s="6">
        <v>35.56</v>
      </c>
      <c r="O4" s="6">
        <v>37.86</v>
      </c>
      <c r="P4" s="6">
        <v>34.33</v>
      </c>
      <c r="Q4" s="6">
        <v>35.9</v>
      </c>
      <c r="R4" s="6">
        <v>39.5</v>
      </c>
      <c r="S4" s="6">
        <v>38.660000000000004</v>
      </c>
      <c r="T4" s="6">
        <v>38.769999999999996</v>
      </c>
      <c r="U4" s="6">
        <v>41.33</v>
      </c>
      <c r="V4" s="6">
        <v>34.364999999999995</v>
      </c>
      <c r="W4" s="6">
        <v>38.58</v>
      </c>
      <c r="X4" s="6">
        <v>38.355000000000004</v>
      </c>
      <c r="Y4" s="6">
        <v>43.48</v>
      </c>
      <c r="Z4" s="6">
        <v>41.24</v>
      </c>
      <c r="AA4" s="6">
        <v>41.18</v>
      </c>
      <c r="AB4" s="6">
        <v>42.8</v>
      </c>
      <c r="AC4" s="6">
        <v>40.129999999999995</v>
      </c>
      <c r="AD4" s="6">
        <v>36.89</v>
      </c>
      <c r="AE4" s="6">
        <v>43.375</v>
      </c>
    </row>
    <row r="5" spans="1:31" ht="27.75" x14ac:dyDescent="0.65">
      <c r="B5" s="3" t="s">
        <v>10</v>
      </c>
      <c r="D5" s="4" t="s">
        <v>224</v>
      </c>
      <c r="E5" t="s">
        <v>226</v>
      </c>
      <c r="F5">
        <v>4</v>
      </c>
      <c r="G5">
        <v>4</v>
      </c>
      <c r="I5" s="5" t="s">
        <v>15</v>
      </c>
      <c r="J5" s="6" t="s">
        <v>12</v>
      </c>
      <c r="K5" s="6">
        <v>31.908999999999999</v>
      </c>
      <c r="L5" s="6">
        <v>34.241</v>
      </c>
      <c r="M5" s="6">
        <v>32.936999999999998</v>
      </c>
      <c r="N5" s="6">
        <v>36.15</v>
      </c>
      <c r="O5" s="6">
        <v>38.03</v>
      </c>
      <c r="P5" s="6">
        <v>35.049999999999997</v>
      </c>
      <c r="Q5" s="6">
        <v>35.869999999999997</v>
      </c>
      <c r="R5" s="6">
        <v>39.6</v>
      </c>
      <c r="S5" s="6">
        <v>38.370999999999995</v>
      </c>
      <c r="T5" s="6">
        <v>38.97</v>
      </c>
      <c r="U5" s="6">
        <v>41.239999999999995</v>
      </c>
      <c r="V5" s="6">
        <v>34.385000000000005</v>
      </c>
      <c r="W5" s="6">
        <v>39.86</v>
      </c>
      <c r="X5" s="6">
        <v>38.510000000000005</v>
      </c>
      <c r="Y5" s="6">
        <v>43.51</v>
      </c>
      <c r="Z5" s="6">
        <v>41.02</v>
      </c>
      <c r="AA5" s="6">
        <v>40.590000000000003</v>
      </c>
      <c r="AB5" s="6">
        <v>42.9</v>
      </c>
      <c r="AC5" s="6">
        <v>39.5</v>
      </c>
      <c r="AD5" s="6">
        <v>37.5</v>
      </c>
      <c r="AE5" s="6">
        <v>42.57</v>
      </c>
    </row>
    <row r="6" spans="1:31" ht="27.75" x14ac:dyDescent="0.65">
      <c r="B6" s="3" t="s">
        <v>10</v>
      </c>
      <c r="D6" s="4" t="s">
        <v>224</v>
      </c>
      <c r="E6" t="s">
        <v>226</v>
      </c>
      <c r="F6">
        <v>5</v>
      </c>
      <c r="G6">
        <v>5</v>
      </c>
      <c r="I6" s="5" t="s">
        <v>16</v>
      </c>
      <c r="J6" s="6" t="s">
        <v>12</v>
      </c>
      <c r="K6" s="6">
        <v>32.076999999999998</v>
      </c>
      <c r="L6" s="6">
        <v>33.683999999999997</v>
      </c>
      <c r="M6" s="6">
        <v>34.299999999999997</v>
      </c>
      <c r="N6" s="6">
        <v>35.269999999999996</v>
      </c>
      <c r="O6" s="6">
        <v>37.239999999999995</v>
      </c>
      <c r="P6" s="6">
        <v>36.29</v>
      </c>
      <c r="Q6" s="6">
        <v>34.380000000000003</v>
      </c>
      <c r="R6" s="6">
        <v>39.18</v>
      </c>
      <c r="S6" s="6">
        <v>37.589999999999996</v>
      </c>
      <c r="T6" s="6">
        <v>39.31</v>
      </c>
      <c r="U6" s="6">
        <v>41.160000000000004</v>
      </c>
      <c r="V6" s="6">
        <v>35.941000000000003</v>
      </c>
      <c r="W6" s="6">
        <v>40.025999999999996</v>
      </c>
      <c r="X6" s="6">
        <v>39.701000000000001</v>
      </c>
      <c r="Y6" s="6">
        <v>42.07</v>
      </c>
      <c r="Z6" s="6">
        <v>40.92</v>
      </c>
      <c r="AA6" s="6">
        <v>41.44</v>
      </c>
      <c r="AB6" s="6">
        <v>43.7</v>
      </c>
      <c r="AC6" s="6">
        <v>38.575000000000003</v>
      </c>
      <c r="AD6" s="6">
        <v>37.33</v>
      </c>
      <c r="AE6" s="6">
        <v>42.875</v>
      </c>
    </row>
    <row r="7" spans="1:31" ht="27.75" x14ac:dyDescent="0.65">
      <c r="B7" s="3" t="s">
        <v>10</v>
      </c>
      <c r="D7" s="4" t="s">
        <v>224</v>
      </c>
      <c r="E7" t="s">
        <v>226</v>
      </c>
      <c r="F7">
        <v>6</v>
      </c>
      <c r="G7">
        <v>6</v>
      </c>
      <c r="I7" s="5" t="s">
        <v>17</v>
      </c>
      <c r="J7" s="6" t="s">
        <v>12</v>
      </c>
      <c r="K7" s="6">
        <v>32.347999999999999</v>
      </c>
      <c r="L7" s="6">
        <v>32.299999999999997</v>
      </c>
      <c r="M7" s="6">
        <v>34.055</v>
      </c>
      <c r="N7" s="6">
        <v>34.6</v>
      </c>
      <c r="O7" s="6">
        <v>36.64</v>
      </c>
      <c r="P7" s="6">
        <v>37.1</v>
      </c>
      <c r="Q7" s="6">
        <v>33.989999999999995</v>
      </c>
      <c r="R7" s="6">
        <v>39.510000000000005</v>
      </c>
      <c r="S7" s="6">
        <v>36.942</v>
      </c>
      <c r="T7" s="6">
        <v>40.010000000000005</v>
      </c>
      <c r="U7" s="6">
        <v>40.78</v>
      </c>
      <c r="V7" s="6">
        <v>36.414999999999999</v>
      </c>
      <c r="W7" s="6">
        <v>39.897000000000006</v>
      </c>
      <c r="X7" s="6">
        <v>40.386000000000003</v>
      </c>
      <c r="Y7" s="6">
        <v>41.62</v>
      </c>
      <c r="Z7" s="6">
        <v>41.39</v>
      </c>
      <c r="AA7" s="6">
        <v>42.25</v>
      </c>
      <c r="AB7" s="6">
        <v>43.6</v>
      </c>
      <c r="AC7" s="6">
        <v>38.524999999999999</v>
      </c>
      <c r="AD7" s="6">
        <v>37.25</v>
      </c>
      <c r="AE7" s="6">
        <v>42.42</v>
      </c>
    </row>
    <row r="8" spans="1:31" ht="27.75" x14ac:dyDescent="0.65">
      <c r="B8" s="3" t="s">
        <v>10</v>
      </c>
      <c r="D8" s="4" t="s">
        <v>224</v>
      </c>
      <c r="E8" t="s">
        <v>226</v>
      </c>
      <c r="F8">
        <v>7</v>
      </c>
      <c r="G8">
        <v>7</v>
      </c>
      <c r="I8" s="5" t="s">
        <v>18</v>
      </c>
      <c r="J8" s="6" t="s">
        <v>12</v>
      </c>
      <c r="K8" s="6">
        <v>32.851999999999997</v>
      </c>
      <c r="L8" s="6">
        <v>31.977999999999998</v>
      </c>
      <c r="M8" s="6">
        <v>34.1</v>
      </c>
      <c r="N8" s="6">
        <v>35.1</v>
      </c>
      <c r="O8" s="6">
        <v>36.18</v>
      </c>
      <c r="P8" s="6">
        <v>37.15</v>
      </c>
      <c r="Q8" s="6">
        <v>36.256999999999998</v>
      </c>
      <c r="R8" s="6">
        <v>39.489999999999995</v>
      </c>
      <c r="S8" s="6">
        <v>36.573</v>
      </c>
      <c r="T8" s="6">
        <v>39.68</v>
      </c>
      <c r="U8" s="6">
        <v>40.730000000000004</v>
      </c>
      <c r="V8" s="6">
        <v>35.998000000000005</v>
      </c>
      <c r="W8" s="6">
        <v>39.277000000000001</v>
      </c>
      <c r="X8" s="6">
        <v>41.292999999999999</v>
      </c>
      <c r="Y8" s="6">
        <v>41.69</v>
      </c>
      <c r="Z8" s="6">
        <v>41.18</v>
      </c>
      <c r="AA8" s="6">
        <v>42.96</v>
      </c>
      <c r="AB8" s="6">
        <v>42.7</v>
      </c>
      <c r="AC8" s="6">
        <v>37.78</v>
      </c>
      <c r="AD8" s="6">
        <v>40.229999999999997</v>
      </c>
      <c r="AE8" s="6">
        <v>43.015000000000001</v>
      </c>
    </row>
    <row r="9" spans="1:31" ht="27.75" x14ac:dyDescent="0.65">
      <c r="B9" s="3" t="s">
        <v>10</v>
      </c>
      <c r="D9" s="4" t="s">
        <v>224</v>
      </c>
      <c r="E9" t="s">
        <v>226</v>
      </c>
      <c r="F9">
        <v>8</v>
      </c>
      <c r="G9">
        <v>8</v>
      </c>
      <c r="I9" s="5" t="s">
        <v>19</v>
      </c>
      <c r="J9" s="6" t="s">
        <v>12</v>
      </c>
      <c r="K9" s="6">
        <v>32.561</v>
      </c>
      <c r="L9" s="6">
        <v>32.65</v>
      </c>
      <c r="M9" s="6">
        <v>34.5</v>
      </c>
      <c r="N9" s="6">
        <v>34.700000000000003</v>
      </c>
      <c r="O9" s="6">
        <v>34.339999999999996</v>
      </c>
      <c r="P9" s="6">
        <v>37.160000000000004</v>
      </c>
      <c r="Q9" s="6">
        <v>37.113999999999997</v>
      </c>
      <c r="R9" s="6">
        <v>40.03</v>
      </c>
      <c r="S9" s="6">
        <v>37.305999999999997</v>
      </c>
      <c r="T9" s="6">
        <v>40.44</v>
      </c>
      <c r="U9" s="6">
        <v>40.15</v>
      </c>
      <c r="V9" s="6">
        <v>36.438000000000002</v>
      </c>
      <c r="W9" s="6">
        <v>39.847999999999999</v>
      </c>
      <c r="X9" s="6">
        <v>42.216000000000001</v>
      </c>
      <c r="Y9" s="6">
        <v>41.35</v>
      </c>
      <c r="Z9" s="6">
        <v>40.71</v>
      </c>
      <c r="AA9" s="6">
        <v>43.99</v>
      </c>
      <c r="AB9" s="6">
        <v>42.6</v>
      </c>
      <c r="AC9" s="6">
        <v>38.19</v>
      </c>
      <c r="AD9" s="6">
        <v>41.3</v>
      </c>
      <c r="AE9" s="6">
        <v>43.694999999999993</v>
      </c>
    </row>
    <row r="10" spans="1:31" ht="27.75" x14ac:dyDescent="0.65">
      <c r="B10" s="3" t="s">
        <v>10</v>
      </c>
      <c r="D10" s="4" t="s">
        <v>224</v>
      </c>
      <c r="E10" t="s">
        <v>226</v>
      </c>
      <c r="F10">
        <v>9</v>
      </c>
      <c r="G10">
        <v>9</v>
      </c>
      <c r="I10" s="5" t="s">
        <v>20</v>
      </c>
      <c r="J10" s="6" t="s">
        <v>12</v>
      </c>
      <c r="K10" s="6">
        <v>32.512999999999998</v>
      </c>
      <c r="L10" s="6">
        <v>32.536999999999999</v>
      </c>
      <c r="M10" s="6">
        <v>34.200000000000003</v>
      </c>
      <c r="N10" s="6">
        <v>35.510000000000005</v>
      </c>
      <c r="O10" s="6">
        <v>33.339999999999996</v>
      </c>
      <c r="P10" s="6">
        <v>37.82</v>
      </c>
      <c r="Q10" s="6">
        <v>37.380000000000003</v>
      </c>
      <c r="R10" s="6">
        <v>39.21</v>
      </c>
      <c r="S10" s="6">
        <v>38.689</v>
      </c>
      <c r="T10" s="6">
        <v>40.450000000000003</v>
      </c>
      <c r="U10" s="6">
        <v>39.049999999999997</v>
      </c>
      <c r="V10" s="6">
        <v>36.962000000000003</v>
      </c>
      <c r="W10" s="6">
        <v>39.951999999999998</v>
      </c>
      <c r="X10" s="6">
        <v>42.381</v>
      </c>
      <c r="Y10" s="6">
        <v>41.62</v>
      </c>
      <c r="Z10" s="6">
        <v>40.409999999999997</v>
      </c>
      <c r="AA10" s="6">
        <v>43.57</v>
      </c>
      <c r="AB10" s="6">
        <v>42.6</v>
      </c>
      <c r="AC10" s="6">
        <v>37.525000000000006</v>
      </c>
      <c r="AD10" s="6">
        <v>40.61</v>
      </c>
      <c r="AE10" s="6">
        <v>44.04</v>
      </c>
    </row>
    <row r="11" spans="1:31" ht="27.75" x14ac:dyDescent="0.65">
      <c r="B11" s="3" t="s">
        <v>10</v>
      </c>
      <c r="D11" s="4" t="s">
        <v>224</v>
      </c>
      <c r="E11" t="s">
        <v>226</v>
      </c>
      <c r="F11">
        <v>10</v>
      </c>
      <c r="G11">
        <v>10</v>
      </c>
      <c r="I11" s="5" t="s">
        <v>21</v>
      </c>
      <c r="J11" s="6" t="s">
        <v>12</v>
      </c>
      <c r="K11" s="6">
        <v>33.191000000000003</v>
      </c>
      <c r="L11" s="6">
        <v>32.048999999999999</v>
      </c>
      <c r="M11" s="6">
        <v>33.9</v>
      </c>
      <c r="N11" s="6">
        <v>36.33</v>
      </c>
      <c r="O11" s="6">
        <v>32.589999999999996</v>
      </c>
      <c r="P11" s="6">
        <v>38.660000000000004</v>
      </c>
      <c r="Q11" s="6">
        <v>39.537999999999997</v>
      </c>
      <c r="R11" s="6">
        <v>39.54</v>
      </c>
      <c r="S11" s="6">
        <v>39.130000000000003</v>
      </c>
      <c r="T11" s="6">
        <v>40.989999999999995</v>
      </c>
      <c r="U11" s="6">
        <v>38.46</v>
      </c>
      <c r="V11" s="6">
        <v>37.410000000000004</v>
      </c>
      <c r="W11" s="6">
        <v>39.355000000000004</v>
      </c>
      <c r="X11" s="6">
        <v>41.801000000000002</v>
      </c>
      <c r="Y11" s="6">
        <v>41.16</v>
      </c>
      <c r="Z11" s="6">
        <v>40.9</v>
      </c>
      <c r="AA11" s="6">
        <v>43.5</v>
      </c>
      <c r="AB11" s="6">
        <v>41.9</v>
      </c>
      <c r="AC11" s="6">
        <v>37.204285714285724</v>
      </c>
      <c r="AD11" s="6">
        <v>40.65</v>
      </c>
      <c r="AE11" s="6">
        <v>43.355000000000004</v>
      </c>
    </row>
    <row r="12" spans="1:31" ht="27.75" x14ac:dyDescent="0.65">
      <c r="B12" s="3" t="s">
        <v>10</v>
      </c>
      <c r="D12" s="4" t="s">
        <v>224</v>
      </c>
      <c r="E12" t="s">
        <v>226</v>
      </c>
      <c r="F12">
        <v>11</v>
      </c>
      <c r="G12">
        <v>11</v>
      </c>
      <c r="I12" s="5" t="s">
        <v>22</v>
      </c>
      <c r="J12" s="6" t="s">
        <v>12</v>
      </c>
      <c r="K12" s="6">
        <v>34.265000000000001</v>
      </c>
      <c r="L12" s="6">
        <v>31.637999999999998</v>
      </c>
      <c r="M12" s="6">
        <v>34.6</v>
      </c>
      <c r="N12" s="6">
        <v>36.86</v>
      </c>
      <c r="O12" s="6">
        <v>31.97</v>
      </c>
      <c r="P12" s="6">
        <v>38.980000000000004</v>
      </c>
      <c r="Q12" s="6">
        <v>38.579000000000001</v>
      </c>
      <c r="R12" s="6">
        <v>39</v>
      </c>
      <c r="S12" s="6">
        <v>38.29</v>
      </c>
      <c r="T12" s="6">
        <v>39.96</v>
      </c>
      <c r="U12" s="6">
        <v>38.07</v>
      </c>
      <c r="V12" s="6">
        <v>36.013999999999996</v>
      </c>
      <c r="W12" s="6">
        <v>38.648000000000003</v>
      </c>
      <c r="X12" s="6">
        <v>41.492000000000004</v>
      </c>
      <c r="Y12" s="6">
        <v>41.25</v>
      </c>
      <c r="Z12" s="6">
        <v>41.07</v>
      </c>
      <c r="AA12" s="6">
        <v>43.67</v>
      </c>
      <c r="AB12" s="6">
        <v>41.3</v>
      </c>
      <c r="AC12" s="6">
        <v>38.489523809523803</v>
      </c>
      <c r="AD12" s="6">
        <v>42.67</v>
      </c>
      <c r="AE12" s="6">
        <v>42.480000000000004</v>
      </c>
    </row>
    <row r="13" spans="1:31" ht="27.75" x14ac:dyDescent="0.65">
      <c r="B13" s="3" t="s">
        <v>10</v>
      </c>
      <c r="D13" s="4" t="s">
        <v>224</v>
      </c>
      <c r="E13" t="s">
        <v>226</v>
      </c>
      <c r="F13">
        <v>12</v>
      </c>
      <c r="G13">
        <v>12</v>
      </c>
      <c r="I13" s="5" t="s">
        <v>23</v>
      </c>
      <c r="J13" s="6" t="s">
        <v>12</v>
      </c>
      <c r="K13" s="6">
        <v>34.660000000000004</v>
      </c>
      <c r="L13" s="6">
        <v>31.873000000000001</v>
      </c>
      <c r="M13" s="6">
        <v>35.521000000000001</v>
      </c>
      <c r="N13" s="6">
        <v>36.589999999999996</v>
      </c>
      <c r="O13" s="6">
        <v>34.42</v>
      </c>
      <c r="P13" s="6">
        <v>38.36</v>
      </c>
      <c r="Q13" s="6">
        <v>37.212000000000003</v>
      </c>
      <c r="R13" s="6">
        <v>38.03</v>
      </c>
      <c r="S13" s="6">
        <v>39.519999999999996</v>
      </c>
      <c r="T13" s="6">
        <v>40.65</v>
      </c>
      <c r="U13" s="6">
        <v>38.29</v>
      </c>
      <c r="V13" s="6">
        <v>36.567999999999998</v>
      </c>
      <c r="W13" s="6">
        <v>37.702999999999996</v>
      </c>
      <c r="X13" s="6">
        <v>41.932000000000002</v>
      </c>
      <c r="Y13" s="6">
        <v>41.37</v>
      </c>
      <c r="Z13" s="6">
        <v>41.37</v>
      </c>
      <c r="AA13" s="6">
        <v>44.16</v>
      </c>
      <c r="AB13" s="6">
        <v>41.1</v>
      </c>
      <c r="AC13" s="6">
        <v>39.509545454545453</v>
      </c>
      <c r="AD13" s="6">
        <v>43.22</v>
      </c>
      <c r="AE13" s="6">
        <v>41.754999999999995</v>
      </c>
    </row>
    <row r="14" spans="1:31" ht="27.75" x14ac:dyDescent="0.65">
      <c r="B14" s="3" t="s">
        <v>10</v>
      </c>
      <c r="D14" s="4" t="s">
        <v>224</v>
      </c>
      <c r="E14" t="s">
        <v>226</v>
      </c>
      <c r="F14">
        <v>13</v>
      </c>
      <c r="G14">
        <v>13</v>
      </c>
      <c r="I14" s="5" t="s">
        <v>24</v>
      </c>
      <c r="J14" s="6" t="s">
        <v>12</v>
      </c>
      <c r="K14" s="6">
        <v>32.575833333333335</v>
      </c>
      <c r="L14" s="6">
        <v>32.948249999999994</v>
      </c>
      <c r="M14" s="6">
        <v>33.75333333333333</v>
      </c>
      <c r="N14" s="6">
        <v>35.556666666666665</v>
      </c>
      <c r="O14" s="6">
        <v>35.523333333333333</v>
      </c>
      <c r="P14" s="6">
        <v>36.549999999999997</v>
      </c>
      <c r="Q14" s="6">
        <v>36.848333333333336</v>
      </c>
      <c r="R14" s="6">
        <v>39.118333333333332</v>
      </c>
      <c r="S14" s="6">
        <v>38.098416666666672</v>
      </c>
      <c r="T14" s="6">
        <v>39.913333333333334</v>
      </c>
      <c r="U14" s="6">
        <v>40.102499999999999</v>
      </c>
      <c r="V14" s="6">
        <v>36.042749999999998</v>
      </c>
      <c r="W14" s="6">
        <v>39.019833333333331</v>
      </c>
      <c r="X14" s="6">
        <v>40.34308333333334</v>
      </c>
      <c r="Y14" s="6">
        <v>42.134999999999998</v>
      </c>
      <c r="Z14" s="6">
        <v>41.057272727272725</v>
      </c>
      <c r="AA14" s="6">
        <v>42.451666666666661</v>
      </c>
      <c r="AB14" s="6">
        <v>42.725000000000001</v>
      </c>
      <c r="AC14" s="6">
        <v>38.977362914862915</v>
      </c>
      <c r="AD14" s="6">
        <v>39.520000000000003</v>
      </c>
      <c r="AE14" s="6">
        <f>AVERAGE(AE2:AE13)</f>
        <v>43.010833333333345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E166-77B1-4ED7-8F34-D26849822970}">
  <sheetPr>
    <tabColor rgb="FF92D050"/>
  </sheetPr>
  <dimension ref="A1:AE14"/>
  <sheetViews>
    <sheetView zoomScale="52" workbookViewId="0">
      <selection activeCell="D2" sqref="D2"/>
    </sheetView>
  </sheetViews>
  <sheetFormatPr baseColWidth="10" defaultRowHeight="15" x14ac:dyDescent="0.25"/>
  <cols>
    <col min="10" max="10" width="19.7109375" customWidth="1"/>
  </cols>
  <sheetData>
    <row r="1" spans="1:31" ht="31.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>
        <v>2004</v>
      </c>
      <c r="L1" s="8">
        <v>2005</v>
      </c>
      <c r="M1" s="8">
        <v>2006</v>
      </c>
      <c r="N1" s="8">
        <v>2007</v>
      </c>
      <c r="O1" s="8">
        <v>2008</v>
      </c>
      <c r="P1" s="8">
        <v>2009</v>
      </c>
      <c r="Q1" s="8">
        <v>2010</v>
      </c>
      <c r="R1" s="8">
        <v>2011</v>
      </c>
      <c r="S1" s="8">
        <v>2012</v>
      </c>
      <c r="T1" s="8">
        <v>2013</v>
      </c>
      <c r="U1" s="8">
        <v>2014</v>
      </c>
      <c r="V1" s="8">
        <v>2015</v>
      </c>
      <c r="W1" s="8">
        <v>2016</v>
      </c>
      <c r="X1" s="8">
        <v>2017</v>
      </c>
      <c r="Y1" s="8">
        <v>2018</v>
      </c>
      <c r="Z1" s="8">
        <v>2019</v>
      </c>
      <c r="AA1" s="8">
        <v>2020</v>
      </c>
      <c r="AB1" s="8">
        <v>2021</v>
      </c>
      <c r="AC1" s="8">
        <v>2022</v>
      </c>
      <c r="AD1" s="8">
        <v>2023</v>
      </c>
      <c r="AE1" s="8">
        <v>2024</v>
      </c>
    </row>
    <row r="2" spans="1:31" ht="27.75" x14ac:dyDescent="0.65">
      <c r="B2" s="3" t="s">
        <v>10</v>
      </c>
      <c r="D2" s="4" t="s">
        <v>225</v>
      </c>
      <c r="E2" s="3" t="s">
        <v>226</v>
      </c>
      <c r="F2">
        <v>1</v>
      </c>
      <c r="G2">
        <v>1</v>
      </c>
      <c r="I2" s="9" t="s">
        <v>11</v>
      </c>
      <c r="J2" s="9" t="s">
        <v>12</v>
      </c>
      <c r="K2" s="6">
        <v>46.917000000000002</v>
      </c>
      <c r="L2" s="6">
        <v>51.725000000000001</v>
      </c>
      <c r="M2" s="6">
        <v>49.626999999999995</v>
      </c>
      <c r="N2" s="6">
        <v>53</v>
      </c>
      <c r="O2" s="6">
        <v>56.08</v>
      </c>
      <c r="P2" s="6">
        <v>53</v>
      </c>
      <c r="Q2" s="6">
        <v>57.04</v>
      </c>
      <c r="R2" s="6">
        <v>59.087000000000003</v>
      </c>
      <c r="S2" s="6">
        <v>57.089999999999996</v>
      </c>
      <c r="T2" s="6">
        <v>60.64</v>
      </c>
      <c r="U2" s="6">
        <v>62.622</v>
      </c>
      <c r="V2" s="6">
        <v>55.646000000000001</v>
      </c>
      <c r="W2" s="6">
        <v>56.403999999999996</v>
      </c>
      <c r="X2" s="6">
        <v>57.833000000000006</v>
      </c>
      <c r="Y2" s="6">
        <v>65.589999999999989</v>
      </c>
      <c r="Z2" s="6">
        <v>63.17</v>
      </c>
      <c r="AA2" s="6">
        <v>63.3</v>
      </c>
      <c r="AB2" s="6">
        <v>67.2</v>
      </c>
      <c r="AC2" s="6">
        <v>62.704999999999998</v>
      </c>
      <c r="AD2" s="6">
        <v>59.4</v>
      </c>
      <c r="AE2" s="6">
        <v>66.210000000000008</v>
      </c>
    </row>
    <row r="3" spans="1:31" ht="27.75" x14ac:dyDescent="0.65">
      <c r="B3" s="3" t="s">
        <v>10</v>
      </c>
      <c r="D3" s="4" t="s">
        <v>225</v>
      </c>
      <c r="E3" s="3" t="s">
        <v>226</v>
      </c>
      <c r="F3">
        <v>2</v>
      </c>
      <c r="G3">
        <v>2</v>
      </c>
      <c r="I3" s="9" t="s">
        <v>13</v>
      </c>
      <c r="J3" s="9" t="s">
        <v>12</v>
      </c>
      <c r="K3" s="6">
        <v>48.137999999999998</v>
      </c>
      <c r="L3" s="6">
        <v>50.082000000000001</v>
      </c>
      <c r="M3" s="6">
        <v>48.914000000000001</v>
      </c>
      <c r="N3" s="6">
        <v>53</v>
      </c>
      <c r="O3" s="6">
        <v>56.239999999999995</v>
      </c>
      <c r="P3" s="6">
        <v>51</v>
      </c>
      <c r="Q3" s="6">
        <v>54.660000000000004</v>
      </c>
      <c r="R3" s="6">
        <v>60.213000000000001</v>
      </c>
      <c r="S3" s="6">
        <v>58.94</v>
      </c>
      <c r="T3" s="6">
        <v>60.9</v>
      </c>
      <c r="U3" s="6">
        <v>62.640999999999998</v>
      </c>
      <c r="V3" s="6">
        <v>54.144000000000005</v>
      </c>
      <c r="W3" s="6">
        <v>58.073</v>
      </c>
      <c r="X3" s="6">
        <v>58.103999999999999</v>
      </c>
      <c r="Y3" s="6">
        <v>66.260000000000005</v>
      </c>
      <c r="Z3" s="6">
        <v>63.04</v>
      </c>
      <c r="AA3" s="6">
        <v>62.2</v>
      </c>
      <c r="AB3" s="6">
        <v>66.5</v>
      </c>
      <c r="AC3" s="6">
        <v>62.745000000000005</v>
      </c>
      <c r="AD3" s="6">
        <v>57.4</v>
      </c>
      <c r="AE3" s="6">
        <v>65.775000000000006</v>
      </c>
    </row>
    <row r="4" spans="1:31" ht="27.75" x14ac:dyDescent="0.65">
      <c r="B4" s="3" t="s">
        <v>10</v>
      </c>
      <c r="D4" s="4" t="s">
        <v>225</v>
      </c>
      <c r="E4" s="3" t="s">
        <v>226</v>
      </c>
      <c r="F4">
        <v>3</v>
      </c>
      <c r="G4">
        <v>3</v>
      </c>
      <c r="I4" s="9" t="s">
        <v>14</v>
      </c>
      <c r="J4" s="9" t="s">
        <v>12</v>
      </c>
      <c r="K4" s="6">
        <v>49.061999999999998</v>
      </c>
      <c r="L4" s="6">
        <v>52.753999999999998</v>
      </c>
      <c r="M4" s="6">
        <v>49.242000000000004</v>
      </c>
      <c r="N4" s="6">
        <v>54</v>
      </c>
      <c r="O4" s="6">
        <v>57.720000000000006</v>
      </c>
      <c r="P4" s="6">
        <v>52</v>
      </c>
      <c r="Q4" s="6">
        <v>54.73</v>
      </c>
      <c r="R4" s="6">
        <v>60.375</v>
      </c>
      <c r="S4" s="6">
        <v>58.989999999999995</v>
      </c>
      <c r="T4" s="6">
        <v>59.1</v>
      </c>
      <c r="U4" s="6">
        <v>63.169000000000004</v>
      </c>
      <c r="V4" s="6">
        <v>52.39</v>
      </c>
      <c r="W4" s="6">
        <v>58.814</v>
      </c>
      <c r="X4" s="6">
        <v>58.472000000000001</v>
      </c>
      <c r="Y4" s="6">
        <v>66.28</v>
      </c>
      <c r="Z4" s="6">
        <v>62.87</v>
      </c>
      <c r="AA4" s="6">
        <v>62.9</v>
      </c>
      <c r="AB4" s="6">
        <v>65.400000000000006</v>
      </c>
      <c r="AC4" s="6">
        <v>61.174999999999997</v>
      </c>
      <c r="AD4" s="6">
        <v>56.2</v>
      </c>
      <c r="AE4" s="6">
        <v>66.08</v>
      </c>
    </row>
    <row r="5" spans="1:31" ht="27.75" x14ac:dyDescent="0.65">
      <c r="B5" s="3" t="s">
        <v>10</v>
      </c>
      <c r="D5" s="4" t="s">
        <v>225</v>
      </c>
      <c r="E5" s="3" t="s">
        <v>226</v>
      </c>
      <c r="F5">
        <v>4</v>
      </c>
      <c r="G5">
        <v>4</v>
      </c>
      <c r="I5" s="9" t="s">
        <v>15</v>
      </c>
      <c r="J5" s="9" t="s">
        <v>12</v>
      </c>
      <c r="K5" s="6">
        <v>48.652999999999999</v>
      </c>
      <c r="L5" s="6">
        <v>52.21</v>
      </c>
      <c r="M5" s="6">
        <v>50.239999999999995</v>
      </c>
      <c r="N5" s="6">
        <v>55</v>
      </c>
      <c r="O5" s="6">
        <v>57.970000000000006</v>
      </c>
      <c r="P5" s="6">
        <v>53</v>
      </c>
      <c r="Q5" s="6">
        <v>54.69</v>
      </c>
      <c r="R5" s="6">
        <v>59.725000000000001</v>
      </c>
      <c r="S5" s="6">
        <v>58.496000000000002</v>
      </c>
      <c r="T5" s="6">
        <v>59.410000000000004</v>
      </c>
      <c r="U5" s="6">
        <v>63.022000000000006</v>
      </c>
      <c r="V5" s="6">
        <v>52.419000000000004</v>
      </c>
      <c r="W5" s="6">
        <v>60.765999999999998</v>
      </c>
      <c r="X5" s="6">
        <v>58.708000000000006</v>
      </c>
      <c r="Y5" s="6">
        <v>66.320000000000007</v>
      </c>
      <c r="Z5" s="6">
        <v>62.53</v>
      </c>
      <c r="AA5" s="6">
        <v>62</v>
      </c>
      <c r="AB5" s="6">
        <v>65.599999999999994</v>
      </c>
      <c r="AC5" s="6">
        <v>60.22</v>
      </c>
      <c r="AD5" s="6">
        <v>57.2</v>
      </c>
      <c r="AE5" s="6">
        <v>64.75</v>
      </c>
    </row>
    <row r="6" spans="1:31" ht="27.75" x14ac:dyDescent="0.65">
      <c r="B6" s="3" t="s">
        <v>10</v>
      </c>
      <c r="D6" s="4" t="s">
        <v>225</v>
      </c>
      <c r="E6" s="3" t="s">
        <v>226</v>
      </c>
      <c r="F6">
        <v>5</v>
      </c>
      <c r="G6">
        <v>5</v>
      </c>
      <c r="I6" s="9" t="s">
        <v>16</v>
      </c>
      <c r="J6" s="9" t="s">
        <v>12</v>
      </c>
      <c r="K6" s="6">
        <v>48.888999999999996</v>
      </c>
      <c r="L6" s="6">
        <v>51.361000000000004</v>
      </c>
      <c r="M6" s="6">
        <v>52</v>
      </c>
      <c r="N6" s="6">
        <v>54</v>
      </c>
      <c r="O6" s="6">
        <v>56.779999999999994</v>
      </c>
      <c r="P6" s="6">
        <v>55</v>
      </c>
      <c r="Q6" s="6">
        <v>52.410000000000004</v>
      </c>
      <c r="R6" s="6">
        <v>60.226999999999997</v>
      </c>
      <c r="S6" s="6">
        <v>57.305999999999997</v>
      </c>
      <c r="T6" s="6">
        <v>59.92</v>
      </c>
      <c r="U6" s="6">
        <v>62.911999999999999</v>
      </c>
      <c r="V6" s="6">
        <v>54.790999999999997</v>
      </c>
      <c r="W6" s="6">
        <v>61.02</v>
      </c>
      <c r="X6" s="6">
        <v>60.524000000000001</v>
      </c>
      <c r="Y6" s="6">
        <v>64.14</v>
      </c>
      <c r="Z6" s="6">
        <v>62.39</v>
      </c>
      <c r="AA6" s="6">
        <v>62.8</v>
      </c>
      <c r="AB6" s="6">
        <v>66.8</v>
      </c>
      <c r="AC6" s="6">
        <v>58.805</v>
      </c>
      <c r="AD6" s="6">
        <v>56.9</v>
      </c>
      <c r="AE6" s="6">
        <v>65.295000000000002</v>
      </c>
    </row>
    <row r="7" spans="1:31" ht="27.75" x14ac:dyDescent="0.65">
      <c r="B7" s="3" t="s">
        <v>10</v>
      </c>
      <c r="D7" s="4" t="s">
        <v>225</v>
      </c>
      <c r="E7" s="3" t="s">
        <v>226</v>
      </c>
      <c r="F7">
        <v>6</v>
      </c>
      <c r="G7">
        <v>6</v>
      </c>
      <c r="I7" s="9" t="s">
        <v>17</v>
      </c>
      <c r="J7" s="9" t="s">
        <v>12</v>
      </c>
      <c r="K7" s="6">
        <v>49.347999999999999</v>
      </c>
      <c r="L7" s="6">
        <v>49.249000000000002</v>
      </c>
      <c r="M7" s="6">
        <v>51.916999999999994</v>
      </c>
      <c r="N7" s="6">
        <v>53</v>
      </c>
      <c r="O7" s="6">
        <v>55.86</v>
      </c>
      <c r="P7" s="6">
        <v>57</v>
      </c>
      <c r="Q7" s="6">
        <v>51.820000000000007</v>
      </c>
      <c r="R7" s="6">
        <v>60.205999999999996</v>
      </c>
      <c r="S7" s="6">
        <v>56.317999999999998</v>
      </c>
      <c r="T7" s="6">
        <v>60.989999999999995</v>
      </c>
      <c r="U7" s="6">
        <v>62.315999999999995</v>
      </c>
      <c r="V7" s="6">
        <v>55.513999999999996</v>
      </c>
      <c r="W7" s="6">
        <v>60.823</v>
      </c>
      <c r="X7" s="6">
        <v>61.567999999999998</v>
      </c>
      <c r="Y7" s="6">
        <v>63.45</v>
      </c>
      <c r="Z7" s="6">
        <v>63.1</v>
      </c>
      <c r="AA7" s="6">
        <v>64.599999999999994</v>
      </c>
      <c r="AB7" s="6">
        <v>66.599999999999994</v>
      </c>
      <c r="AC7" s="6">
        <v>58.730000000000004</v>
      </c>
      <c r="AD7" s="6">
        <v>56.8</v>
      </c>
      <c r="AE7" s="6">
        <v>64.615000000000009</v>
      </c>
    </row>
    <row r="8" spans="1:31" ht="27.75" x14ac:dyDescent="0.65">
      <c r="B8" s="3" t="s">
        <v>10</v>
      </c>
      <c r="D8" s="4" t="s">
        <v>225</v>
      </c>
      <c r="E8" s="3" t="s">
        <v>226</v>
      </c>
      <c r="F8">
        <v>7</v>
      </c>
      <c r="G8">
        <v>7</v>
      </c>
      <c r="I8" s="9" t="s">
        <v>18</v>
      </c>
      <c r="J8" s="9" t="s">
        <v>12</v>
      </c>
      <c r="K8" s="6">
        <v>50.082000000000001</v>
      </c>
      <c r="L8" s="6">
        <v>60.204999999999998</v>
      </c>
      <c r="M8" s="6">
        <v>51.94</v>
      </c>
      <c r="N8" s="6">
        <v>54</v>
      </c>
      <c r="O8" s="6">
        <v>55.160000000000004</v>
      </c>
      <c r="P8" s="6">
        <v>57</v>
      </c>
      <c r="Q8" s="6">
        <v>55.274000000000001</v>
      </c>
      <c r="R8" s="6">
        <v>61.030999999999992</v>
      </c>
      <c r="S8" s="6">
        <v>55.754999999999995</v>
      </c>
      <c r="T8" s="6">
        <v>60.489999999999995</v>
      </c>
      <c r="U8" s="6">
        <v>62.253999999999998</v>
      </c>
      <c r="V8" s="6">
        <v>54.878999999999998</v>
      </c>
      <c r="W8" s="6">
        <v>59.876999999999995</v>
      </c>
      <c r="X8" s="6">
        <v>52.951000000000001</v>
      </c>
      <c r="Y8" s="6">
        <v>63.56</v>
      </c>
      <c r="Z8" s="6">
        <v>62.78</v>
      </c>
      <c r="AA8" s="6">
        <v>66.5</v>
      </c>
      <c r="AB8" s="6">
        <v>65.2</v>
      </c>
      <c r="AC8" s="6">
        <v>57.584999999999994</v>
      </c>
      <c r="AD8" s="6">
        <v>61.3</v>
      </c>
      <c r="AE8" s="6">
        <v>65.484999999999999</v>
      </c>
    </row>
    <row r="9" spans="1:31" ht="27.75" x14ac:dyDescent="0.65">
      <c r="B9" s="3" t="s">
        <v>10</v>
      </c>
      <c r="D9" s="4" t="s">
        <v>225</v>
      </c>
      <c r="E9" s="3" t="s">
        <v>226</v>
      </c>
      <c r="F9">
        <v>8</v>
      </c>
      <c r="G9">
        <v>8</v>
      </c>
      <c r="I9" s="9" t="s">
        <v>19</v>
      </c>
      <c r="J9" s="9" t="s">
        <v>12</v>
      </c>
      <c r="K9" s="6">
        <v>49.637999999999998</v>
      </c>
      <c r="L9" s="6">
        <v>49.774999999999999</v>
      </c>
      <c r="M9" s="6">
        <v>52.475999999999999</v>
      </c>
      <c r="N9" s="6">
        <v>53</v>
      </c>
      <c r="O9" s="6">
        <v>52.35</v>
      </c>
      <c r="P9" s="6">
        <v>57</v>
      </c>
      <c r="Q9" s="6">
        <v>56.578999999999994</v>
      </c>
      <c r="R9" s="6">
        <v>59.771000000000001</v>
      </c>
      <c r="S9" s="6">
        <v>56.872</v>
      </c>
      <c r="T9" s="6">
        <v>61.65</v>
      </c>
      <c r="U9" s="6">
        <v>61.358000000000004</v>
      </c>
      <c r="V9" s="6">
        <v>55.55</v>
      </c>
      <c r="W9" s="6">
        <v>60.748000000000005</v>
      </c>
      <c r="X9" s="6">
        <v>64.358000000000004</v>
      </c>
      <c r="Y9" s="6">
        <v>63.04</v>
      </c>
      <c r="Z9" s="6">
        <v>62.07</v>
      </c>
      <c r="AA9" s="6">
        <v>66.7</v>
      </c>
      <c r="AB9" s="6">
        <v>65.099999999999994</v>
      </c>
      <c r="AC9" s="6">
        <v>58.22</v>
      </c>
      <c r="AD9" s="6">
        <v>63</v>
      </c>
      <c r="AE9" s="6">
        <v>66.14</v>
      </c>
    </row>
    <row r="10" spans="1:31" ht="27.75" x14ac:dyDescent="0.65">
      <c r="B10" s="3" t="s">
        <v>10</v>
      </c>
      <c r="D10" s="4" t="s">
        <v>225</v>
      </c>
      <c r="E10" s="3" t="s">
        <v>226</v>
      </c>
      <c r="F10">
        <v>9</v>
      </c>
      <c r="G10">
        <v>9</v>
      </c>
      <c r="I10" s="9" t="s">
        <v>20</v>
      </c>
      <c r="J10" s="9" t="s">
        <v>12</v>
      </c>
      <c r="K10" s="6">
        <v>49.567</v>
      </c>
      <c r="L10" s="6">
        <v>49.601999999999997</v>
      </c>
      <c r="M10" s="6">
        <v>52.154999999999994</v>
      </c>
      <c r="N10" s="6">
        <v>54</v>
      </c>
      <c r="O10" s="6">
        <v>50.83</v>
      </c>
      <c r="P10" s="6">
        <v>58</v>
      </c>
      <c r="Q10" s="6">
        <v>56.991999999999997</v>
      </c>
      <c r="R10" s="6">
        <v>57.274999999999999</v>
      </c>
      <c r="S10" s="6">
        <v>58.98</v>
      </c>
      <c r="T10" s="6">
        <v>61.660000000000004</v>
      </c>
      <c r="U10" s="6">
        <v>59.672000000000004</v>
      </c>
      <c r="V10" s="6">
        <v>56.349000000000004</v>
      </c>
      <c r="W10" s="6">
        <v>60.905999999999992</v>
      </c>
      <c r="X10" s="6">
        <v>64.609000000000009</v>
      </c>
      <c r="Y10" s="6">
        <v>63.45</v>
      </c>
      <c r="Z10" s="6">
        <v>61.6</v>
      </c>
      <c r="AA10" s="6">
        <v>67.5</v>
      </c>
      <c r="AB10" s="6">
        <v>65</v>
      </c>
      <c r="AC10" s="6">
        <v>57.204999999999998</v>
      </c>
      <c r="AD10" s="6">
        <v>61.9</v>
      </c>
      <c r="AE10" s="6">
        <v>67.10499999999999</v>
      </c>
    </row>
    <row r="11" spans="1:31" ht="27.75" x14ac:dyDescent="0.65">
      <c r="B11" s="3" t="s">
        <v>10</v>
      </c>
      <c r="D11" s="4" t="s">
        <v>225</v>
      </c>
      <c r="E11" s="3" t="s">
        <v>226</v>
      </c>
      <c r="F11">
        <v>10</v>
      </c>
      <c r="G11">
        <v>10</v>
      </c>
      <c r="I11" s="9" t="s">
        <v>21</v>
      </c>
      <c r="J11" s="9" t="s">
        <v>12</v>
      </c>
      <c r="K11" s="6">
        <v>50.597999999999999</v>
      </c>
      <c r="L11" s="6">
        <v>46.558999999999997</v>
      </c>
      <c r="M11" s="6">
        <v>51.67</v>
      </c>
      <c r="N11" s="6">
        <v>55</v>
      </c>
      <c r="O11" s="6">
        <v>49.69</v>
      </c>
      <c r="P11" s="6">
        <v>59</v>
      </c>
      <c r="Q11" s="6">
        <v>60.275999999999996</v>
      </c>
      <c r="R11" s="6">
        <v>60.280999999999992</v>
      </c>
      <c r="S11" s="6">
        <v>59.660000000000004</v>
      </c>
      <c r="T11" s="6">
        <v>62.489999999999995</v>
      </c>
      <c r="U11" s="6">
        <v>58.512</v>
      </c>
      <c r="V11" s="6">
        <v>57.032000000000004</v>
      </c>
      <c r="W11" s="6">
        <v>59.996000000000002</v>
      </c>
      <c r="X11" s="6">
        <v>63.725999999999999</v>
      </c>
      <c r="Y11" s="6">
        <v>62.75</v>
      </c>
      <c r="Z11" s="6">
        <v>62.35</v>
      </c>
      <c r="AA11" s="6">
        <v>66.5</v>
      </c>
      <c r="AB11" s="6">
        <v>64</v>
      </c>
      <c r="AC11" s="6">
        <v>56.719047619047629</v>
      </c>
      <c r="AD11" s="6">
        <v>62</v>
      </c>
      <c r="AE11" s="6">
        <v>66.23</v>
      </c>
    </row>
    <row r="12" spans="1:31" ht="27.75" x14ac:dyDescent="0.65">
      <c r="B12" s="3" t="s">
        <v>10</v>
      </c>
      <c r="D12" s="4" t="s">
        <v>225</v>
      </c>
      <c r="E12" s="3" t="s">
        <v>226</v>
      </c>
      <c r="F12">
        <v>11</v>
      </c>
      <c r="G12">
        <v>11</v>
      </c>
      <c r="I12" s="9" t="s">
        <v>22</v>
      </c>
      <c r="J12" s="9" t="s">
        <v>12</v>
      </c>
      <c r="K12" s="6">
        <v>52.246000000000002</v>
      </c>
      <c r="L12" s="6">
        <v>48.238999999999997</v>
      </c>
      <c r="M12" s="6">
        <v>52.69</v>
      </c>
      <c r="N12" s="6">
        <v>56</v>
      </c>
      <c r="O12" s="6">
        <v>48.739999999999995</v>
      </c>
      <c r="P12" s="6">
        <v>59</v>
      </c>
      <c r="Q12" s="6">
        <v>58.813000000000002</v>
      </c>
      <c r="R12" s="6">
        <v>59.45</v>
      </c>
      <c r="S12" s="6">
        <v>58.379999999999995</v>
      </c>
      <c r="T12" s="6">
        <v>60.92</v>
      </c>
      <c r="U12" s="6">
        <v>58.188000000000002</v>
      </c>
      <c r="V12" s="6">
        <v>54.903999999999996</v>
      </c>
      <c r="W12" s="6">
        <v>58.919000000000004</v>
      </c>
      <c r="X12" s="6">
        <v>63.254999999999995</v>
      </c>
      <c r="Y12" s="6">
        <v>62.88</v>
      </c>
      <c r="Z12" s="6">
        <v>62.61</v>
      </c>
      <c r="AA12" s="6">
        <v>66.7</v>
      </c>
      <c r="AB12" s="6">
        <v>63.1</v>
      </c>
      <c r="AC12" s="6">
        <v>58.675714285714299</v>
      </c>
      <c r="AD12" s="6">
        <v>65.099999999999994</v>
      </c>
      <c r="AE12" s="6">
        <v>64.889999999999986</v>
      </c>
    </row>
    <row r="13" spans="1:31" ht="27.75" x14ac:dyDescent="0.65">
      <c r="B13" s="3" t="s">
        <v>10</v>
      </c>
      <c r="D13" s="4" t="s">
        <v>225</v>
      </c>
      <c r="E13" s="3" t="s">
        <v>226</v>
      </c>
      <c r="F13">
        <v>12</v>
      </c>
      <c r="G13">
        <v>12</v>
      </c>
      <c r="I13" s="9" t="s">
        <v>23</v>
      </c>
      <c r="J13" s="9" t="s">
        <v>12</v>
      </c>
      <c r="K13" s="6">
        <v>52.845000000000006</v>
      </c>
      <c r="L13" s="6">
        <v>48.558999999999997</v>
      </c>
      <c r="M13" s="6">
        <v>54.150999999999996</v>
      </c>
      <c r="N13" s="6">
        <v>56</v>
      </c>
      <c r="O13" s="6">
        <v>52.48</v>
      </c>
      <c r="P13" s="6">
        <v>58</v>
      </c>
      <c r="Q13" s="6">
        <v>56.73</v>
      </c>
      <c r="R13" s="6">
        <v>57.983000000000004</v>
      </c>
      <c r="S13" s="6">
        <v>60.25</v>
      </c>
      <c r="T13" s="6">
        <v>61.96</v>
      </c>
      <c r="U13" s="6">
        <v>58.524000000000001</v>
      </c>
      <c r="V13" s="6">
        <v>55.747</v>
      </c>
      <c r="W13" s="6">
        <v>57.477999999999994</v>
      </c>
      <c r="X13" s="6">
        <v>63.924999999999997</v>
      </c>
      <c r="Y13" s="6">
        <v>63.07</v>
      </c>
      <c r="Z13" s="6">
        <v>63.07</v>
      </c>
      <c r="AA13" s="6">
        <v>67.5</v>
      </c>
      <c r="AB13" s="6">
        <v>62.6</v>
      </c>
      <c r="AC13" s="6">
        <v>60.23</v>
      </c>
      <c r="AD13" s="6">
        <v>65.7</v>
      </c>
      <c r="AE13" s="6">
        <v>63.8</v>
      </c>
    </row>
    <row r="14" spans="1:31" ht="27.75" x14ac:dyDescent="0.65">
      <c r="B14" s="3" t="s">
        <v>10</v>
      </c>
      <c r="D14" s="4" t="s">
        <v>225</v>
      </c>
      <c r="E14" s="3" t="s">
        <v>226</v>
      </c>
      <c r="F14">
        <v>13</v>
      </c>
      <c r="G14">
        <v>13</v>
      </c>
      <c r="I14" s="9" t="s">
        <v>24</v>
      </c>
      <c r="J14" s="9" t="s">
        <v>12</v>
      </c>
      <c r="K14" s="6">
        <v>49.66525</v>
      </c>
      <c r="L14" s="6">
        <v>50.860000000000014</v>
      </c>
      <c r="M14" s="6">
        <v>51.418500000000009</v>
      </c>
      <c r="N14" s="6">
        <v>54.166666666666664</v>
      </c>
      <c r="O14" s="6">
        <v>54.158333333333324</v>
      </c>
      <c r="P14" s="6">
        <v>55.75</v>
      </c>
      <c r="Q14" s="6">
        <v>55.834499999999998</v>
      </c>
      <c r="R14" s="6">
        <v>59.635333333333335</v>
      </c>
      <c r="S14" s="6">
        <v>58.086416666666658</v>
      </c>
      <c r="T14" s="6">
        <v>60.844166666666666</v>
      </c>
      <c r="U14" s="6">
        <v>61.26583333333334</v>
      </c>
      <c r="V14" s="6">
        <v>54.947083333333332</v>
      </c>
      <c r="W14" s="6">
        <v>59.485333333333323</v>
      </c>
      <c r="X14" s="6">
        <v>60.66941666666667</v>
      </c>
      <c r="Y14" s="6">
        <v>64.232500000000002</v>
      </c>
      <c r="Z14" s="6">
        <v>62.582727272727283</v>
      </c>
      <c r="AA14" s="6">
        <v>65.081818181818193</v>
      </c>
      <c r="AB14" s="6">
        <v>65.25833333333334</v>
      </c>
      <c r="AC14" s="6">
        <v>59.417896825396831</v>
      </c>
      <c r="AD14" s="6">
        <v>60.2</v>
      </c>
      <c r="AE14" s="6">
        <f>AVERAGE(AE2:AE13)</f>
        <v>65.53125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D79B-7558-4329-845D-012C144B3E13}">
  <sheetPr>
    <tabColor rgb="FF92D050"/>
  </sheetPr>
  <dimension ref="A1:AE14"/>
  <sheetViews>
    <sheetView zoomScale="76" workbookViewId="0">
      <selection activeCell="D2" sqref="D2"/>
    </sheetView>
  </sheetViews>
  <sheetFormatPr baseColWidth="10" defaultRowHeight="15" x14ac:dyDescent="0.25"/>
  <cols>
    <col min="9" max="9" width="23.140625" customWidth="1"/>
    <col min="10" max="10" width="19" customWidth="1"/>
  </cols>
  <sheetData>
    <row r="1" spans="1:31" ht="31.5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>
        <v>2004</v>
      </c>
      <c r="L1" s="2">
        <v>2005</v>
      </c>
      <c r="M1" s="2">
        <v>2006</v>
      </c>
      <c r="N1" s="2">
        <v>2007</v>
      </c>
      <c r="O1" s="2">
        <v>2008</v>
      </c>
      <c r="P1" s="2">
        <v>2009</v>
      </c>
      <c r="Q1" s="2">
        <v>2010</v>
      </c>
      <c r="R1" s="2">
        <v>2011</v>
      </c>
      <c r="S1" s="2">
        <v>2012</v>
      </c>
      <c r="T1" s="2">
        <v>2013</v>
      </c>
      <c r="U1" s="2">
        <v>2014</v>
      </c>
      <c r="V1" s="2">
        <v>2015</v>
      </c>
      <c r="W1" s="2">
        <v>2016</v>
      </c>
      <c r="X1" s="2">
        <v>2017</v>
      </c>
      <c r="Y1" s="2">
        <v>2018</v>
      </c>
      <c r="Z1" s="2">
        <v>2019</v>
      </c>
      <c r="AA1" s="2">
        <v>2020</v>
      </c>
      <c r="AB1" s="2">
        <v>2021</v>
      </c>
      <c r="AC1" s="2">
        <v>2022</v>
      </c>
      <c r="AD1" s="2">
        <v>2023</v>
      </c>
      <c r="AE1" s="2">
        <v>2024</v>
      </c>
    </row>
    <row r="2" spans="1:31" ht="27.75" x14ac:dyDescent="0.65">
      <c r="B2" s="3" t="s">
        <v>10</v>
      </c>
      <c r="D2" t="s">
        <v>227</v>
      </c>
      <c r="E2" t="s">
        <v>226</v>
      </c>
      <c r="F2">
        <v>1</v>
      </c>
      <c r="G2">
        <v>1</v>
      </c>
      <c r="I2" s="10" t="s">
        <v>11</v>
      </c>
      <c r="J2" s="9" t="s">
        <v>12</v>
      </c>
      <c r="K2" s="11">
        <v>248.78100000000001</v>
      </c>
      <c r="L2" s="11">
        <v>250.01699999999997</v>
      </c>
      <c r="M2" s="11">
        <v>232.61099999999999</v>
      </c>
      <c r="N2" s="11">
        <v>223</v>
      </c>
      <c r="O2" s="11">
        <v>231.66000000000003</v>
      </c>
      <c r="P2" s="11">
        <v>287</v>
      </c>
      <c r="Q2" s="11">
        <v>286.43</v>
      </c>
      <c r="R2" s="11">
        <v>343.82</v>
      </c>
      <c r="S2" s="11">
        <v>376.83</v>
      </c>
      <c r="T2" s="11">
        <v>338.59</v>
      </c>
      <c r="U2" s="11">
        <v>290</v>
      </c>
      <c r="V2" s="11">
        <v>264.983</v>
      </c>
      <c r="W2" s="11">
        <v>288.59299999999996</v>
      </c>
      <c r="X2" s="11">
        <v>310</v>
      </c>
      <c r="Y2" s="11">
        <v>318.41000000000003</v>
      </c>
      <c r="Z2" s="11">
        <v>333.34999999999997</v>
      </c>
      <c r="AA2" s="11">
        <v>340</v>
      </c>
      <c r="AB2" s="11">
        <v>349.3</v>
      </c>
      <c r="AC2" s="11">
        <v>315.91499999999996</v>
      </c>
      <c r="AD2" s="11">
        <v>277.3</v>
      </c>
      <c r="AE2" s="11">
        <v>272.35000000000002</v>
      </c>
    </row>
    <row r="3" spans="1:31" ht="27.75" x14ac:dyDescent="0.65">
      <c r="B3" s="3" t="s">
        <v>10</v>
      </c>
      <c r="D3" t="s">
        <v>227</v>
      </c>
      <c r="E3" t="s">
        <v>226</v>
      </c>
      <c r="F3">
        <v>2</v>
      </c>
      <c r="G3">
        <v>2</v>
      </c>
      <c r="I3" s="10" t="s">
        <v>13</v>
      </c>
      <c r="J3" s="9" t="s">
        <v>12</v>
      </c>
      <c r="K3" s="11">
        <v>261.01600000000002</v>
      </c>
      <c r="L3" s="11">
        <v>248.25300000000001</v>
      </c>
      <c r="M3" s="11">
        <v>228.017</v>
      </c>
      <c r="N3" s="11">
        <v>222.00000000000003</v>
      </c>
      <c r="O3" s="11">
        <v>236.87</v>
      </c>
      <c r="P3" s="11">
        <v>283</v>
      </c>
      <c r="Q3" s="11">
        <v>289.93</v>
      </c>
      <c r="R3" s="11">
        <v>346.01000000000005</v>
      </c>
      <c r="S3" s="11">
        <v>373.88</v>
      </c>
      <c r="T3" s="11">
        <v>321</v>
      </c>
      <c r="U3" s="11">
        <v>290</v>
      </c>
      <c r="V3" s="11">
        <v>263.38300000000004</v>
      </c>
      <c r="W3" s="11">
        <v>298.435</v>
      </c>
      <c r="X3" s="11">
        <v>320</v>
      </c>
      <c r="Y3" s="11">
        <v>325.54000000000002</v>
      </c>
      <c r="Z3" s="11">
        <v>330.07</v>
      </c>
      <c r="AA3" s="11">
        <v>340</v>
      </c>
      <c r="AB3" s="11">
        <v>342.2</v>
      </c>
      <c r="AC3" s="11">
        <v>315.44</v>
      </c>
      <c r="AD3" s="11">
        <v>264.5</v>
      </c>
      <c r="AE3" s="11">
        <v>267.685</v>
      </c>
    </row>
    <row r="4" spans="1:31" ht="27.75" x14ac:dyDescent="0.65">
      <c r="B4" s="3" t="s">
        <v>10</v>
      </c>
      <c r="D4" t="s">
        <v>227</v>
      </c>
      <c r="E4" t="s">
        <v>226</v>
      </c>
      <c r="F4">
        <v>3</v>
      </c>
      <c r="G4">
        <v>3</v>
      </c>
      <c r="I4" s="10" t="s">
        <v>14</v>
      </c>
      <c r="J4" s="9" t="s">
        <v>12</v>
      </c>
      <c r="K4" s="11">
        <v>244.58199999999999</v>
      </c>
      <c r="L4" s="11">
        <v>249.08100000000002</v>
      </c>
      <c r="M4" s="11">
        <v>224.56900000000002</v>
      </c>
      <c r="N4" s="11">
        <v>229</v>
      </c>
      <c r="O4" s="11">
        <v>241.66</v>
      </c>
      <c r="P4" s="11">
        <v>269</v>
      </c>
      <c r="Q4" s="11">
        <v>292.03999999999996</v>
      </c>
      <c r="R4" s="11">
        <v>330.24700000000001</v>
      </c>
      <c r="S4" s="11">
        <v>355.92999999999995</v>
      </c>
      <c r="T4" s="11">
        <v>315.84000000000003</v>
      </c>
      <c r="U4" s="11">
        <v>290</v>
      </c>
      <c r="V4" s="11">
        <v>263.06799999999998</v>
      </c>
      <c r="W4" s="11">
        <v>307.99199999999996</v>
      </c>
      <c r="X4" s="11">
        <v>320</v>
      </c>
      <c r="Y4" s="11">
        <v>332.14</v>
      </c>
      <c r="Z4" s="11">
        <v>327.72</v>
      </c>
      <c r="AA4" s="11">
        <v>350</v>
      </c>
      <c r="AB4" s="11">
        <v>331.7</v>
      </c>
      <c r="AC4" s="11">
        <v>307.40499999999997</v>
      </c>
      <c r="AD4" s="11">
        <v>257.60000000000002</v>
      </c>
      <c r="AE4" s="11">
        <v>266.43</v>
      </c>
    </row>
    <row r="5" spans="1:31" ht="27.75" x14ac:dyDescent="0.65">
      <c r="B5" s="3" t="s">
        <v>10</v>
      </c>
      <c r="D5" t="s">
        <v>227</v>
      </c>
      <c r="E5" t="s">
        <v>226</v>
      </c>
      <c r="F5">
        <v>4</v>
      </c>
      <c r="G5">
        <v>4</v>
      </c>
      <c r="I5" s="10" t="s">
        <v>15</v>
      </c>
      <c r="J5" s="9" t="s">
        <v>12</v>
      </c>
      <c r="K5" s="11">
        <v>248.11799999999997</v>
      </c>
      <c r="L5" s="11">
        <v>248.28</v>
      </c>
      <c r="M5" s="11">
        <v>229.47700000000003</v>
      </c>
      <c r="N5" s="11">
        <v>225</v>
      </c>
      <c r="O5" s="11">
        <v>235.84</v>
      </c>
      <c r="P5" s="11">
        <v>269</v>
      </c>
      <c r="Q5" s="11">
        <v>285.83999999999997</v>
      </c>
      <c r="R5" s="11">
        <v>336.20800000000003</v>
      </c>
      <c r="S5" s="11">
        <v>344.464</v>
      </c>
      <c r="T5" s="11">
        <v>307.18999999999994</v>
      </c>
      <c r="U5" s="11">
        <v>290</v>
      </c>
      <c r="V5" s="11">
        <v>266.73200000000003</v>
      </c>
      <c r="W5" s="11">
        <v>320.56300000000005</v>
      </c>
      <c r="X5" s="11">
        <v>329.99999999999994</v>
      </c>
      <c r="Y5" s="11">
        <v>329.31</v>
      </c>
      <c r="Z5" s="11">
        <v>327.08</v>
      </c>
      <c r="AA5" s="11">
        <v>350</v>
      </c>
      <c r="AB5" s="11">
        <v>329.7</v>
      </c>
      <c r="AC5" s="11">
        <v>289.185</v>
      </c>
      <c r="AD5" s="11">
        <v>256.89999999999998</v>
      </c>
      <c r="AE5" s="11">
        <v>258.08500000000004</v>
      </c>
    </row>
    <row r="6" spans="1:31" ht="27.75" x14ac:dyDescent="0.65">
      <c r="B6" s="3" t="s">
        <v>10</v>
      </c>
      <c r="D6" t="s">
        <v>227</v>
      </c>
      <c r="E6" t="s">
        <v>226</v>
      </c>
      <c r="F6">
        <v>5</v>
      </c>
      <c r="G6">
        <v>5</v>
      </c>
      <c r="I6" s="10" t="s">
        <v>16</v>
      </c>
      <c r="J6" s="9" t="s">
        <v>12</v>
      </c>
      <c r="K6" s="11">
        <v>238.77800000000002</v>
      </c>
      <c r="L6" s="11">
        <v>248.83600000000001</v>
      </c>
      <c r="M6" s="11">
        <v>240.34900000000002</v>
      </c>
      <c r="N6" s="11">
        <v>216</v>
      </c>
      <c r="O6" s="11">
        <v>229.35</v>
      </c>
      <c r="P6" s="11">
        <v>276</v>
      </c>
      <c r="Q6" s="11">
        <v>294.77999999999997</v>
      </c>
      <c r="R6" s="11">
        <v>341.06800000000004</v>
      </c>
      <c r="S6" s="11">
        <v>367.56600000000003</v>
      </c>
      <c r="T6" s="11">
        <v>300.59000000000003</v>
      </c>
      <c r="U6" s="11">
        <v>290</v>
      </c>
      <c r="V6" s="11">
        <v>266.495</v>
      </c>
      <c r="W6" s="11">
        <v>324.81799999999998</v>
      </c>
      <c r="X6" s="11">
        <v>320</v>
      </c>
      <c r="Y6" s="11">
        <v>324.13</v>
      </c>
      <c r="Z6" s="11">
        <v>332.45000000000005</v>
      </c>
      <c r="AA6" s="11">
        <v>340</v>
      </c>
      <c r="AB6" s="11">
        <v>330.8</v>
      </c>
      <c r="AC6" s="11">
        <v>283.315</v>
      </c>
      <c r="AD6" s="11">
        <v>250.9</v>
      </c>
      <c r="AE6" s="11">
        <v>254.56</v>
      </c>
    </row>
    <row r="7" spans="1:31" ht="27.75" x14ac:dyDescent="0.65">
      <c r="B7" s="3" t="s">
        <v>10</v>
      </c>
      <c r="D7" t="s">
        <v>227</v>
      </c>
      <c r="E7" t="s">
        <v>226</v>
      </c>
      <c r="F7">
        <v>6</v>
      </c>
      <c r="G7">
        <v>6</v>
      </c>
      <c r="I7" s="10" t="s">
        <v>17</v>
      </c>
      <c r="J7" s="9" t="s">
        <v>12</v>
      </c>
      <c r="K7" s="11">
        <v>247.57600000000002</v>
      </c>
      <c r="L7" s="11">
        <v>242.64500000000001</v>
      </c>
      <c r="M7" s="11">
        <v>225.71500000000003</v>
      </c>
      <c r="N7" s="11">
        <v>211</v>
      </c>
      <c r="O7" s="11">
        <v>220.71999999999997</v>
      </c>
      <c r="P7" s="11">
        <v>274</v>
      </c>
      <c r="Q7" s="11">
        <v>305.65000000000003</v>
      </c>
      <c r="R7" s="11">
        <v>347.46700000000004</v>
      </c>
      <c r="S7" s="11">
        <v>371.89600000000002</v>
      </c>
      <c r="T7" s="11">
        <v>311.01</v>
      </c>
      <c r="U7" s="11">
        <v>290</v>
      </c>
      <c r="V7" s="11">
        <v>262.351</v>
      </c>
      <c r="W7" s="11">
        <v>335.21600000000001</v>
      </c>
      <c r="X7" s="11">
        <v>320</v>
      </c>
      <c r="Y7" s="11">
        <v>323.95</v>
      </c>
      <c r="Z7" s="11">
        <v>339.13</v>
      </c>
      <c r="AA7" s="11">
        <v>350</v>
      </c>
      <c r="AB7" s="11">
        <v>328.9</v>
      </c>
      <c r="AC7" s="11">
        <v>272.62</v>
      </c>
      <c r="AD7" s="11">
        <v>244.6</v>
      </c>
      <c r="AE7" s="11">
        <v>249.655</v>
      </c>
    </row>
    <row r="8" spans="1:31" ht="27.75" x14ac:dyDescent="0.65">
      <c r="B8" s="3" t="s">
        <v>10</v>
      </c>
      <c r="D8" t="s">
        <v>227</v>
      </c>
      <c r="E8" t="s">
        <v>226</v>
      </c>
      <c r="F8">
        <v>7</v>
      </c>
      <c r="G8">
        <v>7</v>
      </c>
      <c r="I8" s="10" t="s">
        <v>18</v>
      </c>
      <c r="J8" s="9" t="s">
        <v>12</v>
      </c>
      <c r="K8" s="11">
        <v>244.85799999999998</v>
      </c>
      <c r="L8" s="11">
        <v>237.154</v>
      </c>
      <c r="M8" s="11">
        <v>231.80900000000003</v>
      </c>
      <c r="N8" s="11">
        <v>210.56900000000002</v>
      </c>
      <c r="O8" s="11">
        <v>215.11999999999998</v>
      </c>
      <c r="P8" s="11">
        <v>279</v>
      </c>
      <c r="Q8" s="11">
        <v>324.91400000000004</v>
      </c>
      <c r="R8" s="11">
        <v>362.93700000000001</v>
      </c>
      <c r="S8" s="11">
        <v>376.13099999999997</v>
      </c>
      <c r="T8" s="11">
        <v>304.59999999999997</v>
      </c>
      <c r="U8" s="11">
        <v>300</v>
      </c>
      <c r="V8" s="11">
        <v>265.20500000000004</v>
      </c>
      <c r="W8" s="11">
        <v>339.39299999999997</v>
      </c>
      <c r="X8" s="11">
        <v>320</v>
      </c>
      <c r="Y8" s="11">
        <v>320.40000000000003</v>
      </c>
      <c r="Z8" s="11">
        <v>339.14</v>
      </c>
      <c r="AA8" s="11">
        <v>350</v>
      </c>
      <c r="AB8" s="11">
        <v>328</v>
      </c>
      <c r="AC8" s="11">
        <v>270.73</v>
      </c>
      <c r="AD8" s="11">
        <v>257.89999999999998</v>
      </c>
      <c r="AE8" s="11">
        <v>251.32499999999999</v>
      </c>
    </row>
    <row r="9" spans="1:31" ht="27.75" x14ac:dyDescent="0.65">
      <c r="B9" s="3" t="s">
        <v>10</v>
      </c>
      <c r="D9" t="s">
        <v>227</v>
      </c>
      <c r="E9" t="s">
        <v>226</v>
      </c>
      <c r="F9">
        <v>8</v>
      </c>
      <c r="G9">
        <v>8</v>
      </c>
      <c r="I9" s="10" t="s">
        <v>19</v>
      </c>
      <c r="J9" s="9" t="s">
        <v>12</v>
      </c>
      <c r="K9" s="11">
        <v>242.06099999999998</v>
      </c>
      <c r="L9" s="11">
        <v>242.79400000000001</v>
      </c>
      <c r="M9" s="11">
        <v>232.35000000000002</v>
      </c>
      <c r="N9" s="11">
        <v>218.54599999999999</v>
      </c>
      <c r="O9" s="11">
        <v>209.24999999999997</v>
      </c>
      <c r="P9" s="11">
        <v>275</v>
      </c>
      <c r="Q9" s="11">
        <v>335.36100000000005</v>
      </c>
      <c r="R9" s="11">
        <v>369.23699999999997</v>
      </c>
      <c r="S9" s="11">
        <v>383.07299999999998</v>
      </c>
      <c r="T9" s="11">
        <v>310.31</v>
      </c>
      <c r="U9" s="11">
        <v>290</v>
      </c>
      <c r="V9" s="11">
        <v>265.73700000000002</v>
      </c>
      <c r="W9" s="11">
        <v>351.101</v>
      </c>
      <c r="X9" s="11">
        <v>320</v>
      </c>
      <c r="Y9" s="11">
        <v>322</v>
      </c>
      <c r="Z9" s="11">
        <v>343.8</v>
      </c>
      <c r="AA9" s="11">
        <v>354</v>
      </c>
      <c r="AB9" s="11">
        <v>330</v>
      </c>
      <c r="AC9" s="11">
        <v>279.03999999999996</v>
      </c>
      <c r="AD9" s="11">
        <v>261.39999999999998</v>
      </c>
      <c r="AE9" s="11">
        <v>271.26</v>
      </c>
    </row>
    <row r="10" spans="1:31" ht="27.75" x14ac:dyDescent="0.65">
      <c r="B10" s="3" t="s">
        <v>10</v>
      </c>
      <c r="D10" t="s">
        <v>227</v>
      </c>
      <c r="E10" t="s">
        <v>226</v>
      </c>
      <c r="F10">
        <v>9</v>
      </c>
      <c r="G10">
        <v>9</v>
      </c>
      <c r="I10" s="10" t="s">
        <v>20</v>
      </c>
      <c r="J10" s="9" t="s">
        <v>12</v>
      </c>
      <c r="K10" s="11">
        <v>240.68600000000001</v>
      </c>
      <c r="L10" s="11">
        <v>239.10399999999998</v>
      </c>
      <c r="M10" s="11">
        <v>229.41799999999998</v>
      </c>
      <c r="N10" s="11">
        <v>222.00000000000003</v>
      </c>
      <c r="O10" s="11">
        <v>217.07</v>
      </c>
      <c r="P10" s="11">
        <v>284</v>
      </c>
      <c r="Q10" s="11">
        <v>339.56599999999997</v>
      </c>
      <c r="R10" s="11">
        <v>340.53499999999997</v>
      </c>
      <c r="S10" s="11">
        <v>386.06700000000001</v>
      </c>
      <c r="T10" s="11">
        <v>305.65999999999997</v>
      </c>
      <c r="U10" s="11">
        <v>279.99999999999994</v>
      </c>
      <c r="V10" s="11">
        <v>273.642</v>
      </c>
      <c r="W10" s="11">
        <v>349.66200000000003</v>
      </c>
      <c r="X10" s="11">
        <v>320</v>
      </c>
      <c r="Y10" s="11">
        <v>318.82</v>
      </c>
      <c r="Z10" s="11">
        <v>341.84</v>
      </c>
      <c r="AA10" s="11">
        <v>350</v>
      </c>
      <c r="AB10" s="11">
        <v>329.2</v>
      </c>
      <c r="AC10" s="11">
        <v>264.81</v>
      </c>
      <c r="AD10" s="11">
        <v>257.2</v>
      </c>
      <c r="AE10" s="11">
        <v>276.47000000000003</v>
      </c>
    </row>
    <row r="11" spans="1:31" ht="27.75" x14ac:dyDescent="0.65">
      <c r="B11" s="3" t="s">
        <v>10</v>
      </c>
      <c r="D11" t="s">
        <v>227</v>
      </c>
      <c r="E11" t="s">
        <v>226</v>
      </c>
      <c r="F11">
        <v>10</v>
      </c>
      <c r="G11">
        <v>10</v>
      </c>
      <c r="I11" s="10" t="s">
        <v>21</v>
      </c>
      <c r="J11" s="9" t="s">
        <v>12</v>
      </c>
      <c r="K11" s="11">
        <v>243.785</v>
      </c>
      <c r="L11" s="11">
        <v>228.25799999999998</v>
      </c>
      <c r="M11" s="11">
        <v>226.44600000000003</v>
      </c>
      <c r="N11" s="11">
        <v>221</v>
      </c>
      <c r="O11" s="11">
        <v>244.13</v>
      </c>
      <c r="P11" s="11">
        <v>289</v>
      </c>
      <c r="Q11" s="11">
        <v>347.57400000000001</v>
      </c>
      <c r="R11" s="11">
        <v>377.26500000000004</v>
      </c>
      <c r="S11" s="11">
        <v>382.64</v>
      </c>
      <c r="T11" s="11">
        <v>307.41999999999996</v>
      </c>
      <c r="U11" s="11">
        <v>279.99999999999994</v>
      </c>
      <c r="V11" s="11">
        <v>277.24299999999999</v>
      </c>
      <c r="W11" s="11">
        <v>343.78399999999999</v>
      </c>
      <c r="X11" s="11">
        <v>310</v>
      </c>
      <c r="Y11" s="11">
        <v>317.17</v>
      </c>
      <c r="Z11" s="11">
        <v>342.54</v>
      </c>
      <c r="AA11" s="11">
        <v>350</v>
      </c>
      <c r="AB11" s="11">
        <v>320.3</v>
      </c>
      <c r="AC11" s="11">
        <v>257.45952380952377</v>
      </c>
      <c r="AD11" s="11">
        <v>257.3</v>
      </c>
      <c r="AE11" s="11">
        <v>265.94499999999999</v>
      </c>
    </row>
    <row r="12" spans="1:31" ht="27.75" x14ac:dyDescent="0.65">
      <c r="B12" s="3" t="s">
        <v>10</v>
      </c>
      <c r="D12" t="s">
        <v>227</v>
      </c>
      <c r="E12" t="s">
        <v>226</v>
      </c>
      <c r="F12">
        <v>11</v>
      </c>
      <c r="G12">
        <v>11</v>
      </c>
      <c r="I12" s="10" t="s">
        <v>22</v>
      </c>
      <c r="J12" s="9" t="s">
        <v>12</v>
      </c>
      <c r="K12" s="11">
        <v>252.34699999999998</v>
      </c>
      <c r="L12" s="11">
        <v>226.80600000000001</v>
      </c>
      <c r="M12" s="11">
        <v>228.905</v>
      </c>
      <c r="N12" s="11">
        <v>225</v>
      </c>
      <c r="O12" s="11">
        <v>258.49</v>
      </c>
      <c r="P12" s="11">
        <v>290</v>
      </c>
      <c r="Q12" s="11">
        <v>341.83200000000005</v>
      </c>
      <c r="R12" s="11">
        <v>370.59100000000001</v>
      </c>
      <c r="S12" s="11">
        <v>369.41</v>
      </c>
      <c r="T12" s="11">
        <v>297.19</v>
      </c>
      <c r="U12" s="11">
        <v>260</v>
      </c>
      <c r="V12" s="11">
        <v>273.49400000000003</v>
      </c>
      <c r="W12" s="11">
        <v>331.39599999999996</v>
      </c>
      <c r="X12" s="11">
        <v>310</v>
      </c>
      <c r="Y12" s="11">
        <v>320.28000000000003</v>
      </c>
      <c r="Z12" s="11">
        <v>341.16999999999996</v>
      </c>
      <c r="AA12" s="11">
        <v>350</v>
      </c>
      <c r="AB12" s="11">
        <v>317.39999999999998</v>
      </c>
      <c r="AC12" s="11">
        <v>265.24428571428564</v>
      </c>
      <c r="AD12" s="11">
        <v>263.60000000000002</v>
      </c>
      <c r="AE12" s="11">
        <v>258.94499999999999</v>
      </c>
    </row>
    <row r="13" spans="1:31" ht="27.75" x14ac:dyDescent="0.65">
      <c r="B13" s="3" t="s">
        <v>10</v>
      </c>
      <c r="D13" t="s">
        <v>227</v>
      </c>
      <c r="E13" t="s">
        <v>226</v>
      </c>
      <c r="F13">
        <v>12</v>
      </c>
      <c r="G13">
        <v>12</v>
      </c>
      <c r="I13" s="10" t="s">
        <v>23</v>
      </c>
      <c r="J13" s="9" t="s">
        <v>12</v>
      </c>
      <c r="K13" s="11">
        <v>253.91900000000001</v>
      </c>
      <c r="L13" s="11">
        <v>231.91899999999998</v>
      </c>
      <c r="M13" s="11">
        <v>229.32999999999998</v>
      </c>
      <c r="N13" s="11">
        <v>223</v>
      </c>
      <c r="O13" s="11">
        <v>280.69</v>
      </c>
      <c r="P13" s="11">
        <v>292</v>
      </c>
      <c r="Q13" s="11">
        <v>337.78100000000001</v>
      </c>
      <c r="R13" s="11">
        <v>370.16499999999996</v>
      </c>
      <c r="S13" s="11">
        <v>361.33000000000004</v>
      </c>
      <c r="T13" s="11">
        <v>287.71000000000004</v>
      </c>
      <c r="U13" s="11">
        <v>260</v>
      </c>
      <c r="V13" s="11">
        <v>276.53499999999997</v>
      </c>
      <c r="W13" s="11">
        <v>308.02600000000001</v>
      </c>
      <c r="X13" s="11">
        <v>310</v>
      </c>
      <c r="Y13" s="11">
        <v>323.34000000000003</v>
      </c>
      <c r="Z13" s="11">
        <v>341.48</v>
      </c>
      <c r="AA13" s="11">
        <v>350</v>
      </c>
      <c r="AB13" s="11">
        <v>318.7</v>
      </c>
      <c r="AC13" s="11">
        <v>276.49863636363636</v>
      </c>
      <c r="AD13" s="11">
        <v>274.7</v>
      </c>
      <c r="AE13" s="11">
        <v>259.66499999999996</v>
      </c>
    </row>
    <row r="14" spans="1:31" ht="27.75" x14ac:dyDescent="0.65">
      <c r="B14" s="3" t="s">
        <v>10</v>
      </c>
      <c r="D14" t="s">
        <v>227</v>
      </c>
      <c r="E14" t="s">
        <v>226</v>
      </c>
      <c r="F14">
        <v>13</v>
      </c>
      <c r="G14">
        <v>13</v>
      </c>
      <c r="I14" s="10" t="s">
        <v>24</v>
      </c>
      <c r="J14" s="9" t="s">
        <v>12</v>
      </c>
      <c r="K14" s="11">
        <v>247.20891666666671</v>
      </c>
      <c r="L14" s="11">
        <v>241.09558333333331</v>
      </c>
      <c r="M14" s="11">
        <v>229.91633333333331</v>
      </c>
      <c r="N14" s="11">
        <v>220.50958333333335</v>
      </c>
      <c r="O14" s="11">
        <v>235.07083333333338</v>
      </c>
      <c r="P14" s="11">
        <v>280.58333333333326</v>
      </c>
      <c r="Q14" s="11">
        <v>315.14150000000001</v>
      </c>
      <c r="R14" s="11">
        <v>352.96250000000003</v>
      </c>
      <c r="S14" s="11">
        <v>370.76808333333332</v>
      </c>
      <c r="T14" s="11">
        <v>308.9258333333334</v>
      </c>
      <c r="U14" s="11">
        <v>284.16666666666663</v>
      </c>
      <c r="V14" s="11">
        <v>268.23900000000003</v>
      </c>
      <c r="W14" s="11">
        <v>324.91491666666661</v>
      </c>
      <c r="X14" s="11">
        <v>317.49999999999994</v>
      </c>
      <c r="Y14" s="11">
        <v>322.95749999999998</v>
      </c>
      <c r="Z14" s="11">
        <v>336.94727272727272</v>
      </c>
      <c r="AA14" s="11">
        <v>348.54545454545462</v>
      </c>
      <c r="AB14" s="11">
        <v>329.68333333333334</v>
      </c>
      <c r="AC14" s="11">
        <v>283.13853715728715</v>
      </c>
      <c r="AD14" s="11">
        <v>260.3</v>
      </c>
      <c r="AE14" s="11">
        <f>AVERAGE(AE2:AE13)</f>
        <v>262.69791666666674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5E2D-2C17-411C-A257-17AE0535CA13}">
  <sheetPr>
    <tabColor rgb="FF92D050"/>
  </sheetPr>
  <dimension ref="A1:X10"/>
  <sheetViews>
    <sheetView zoomScale="58" workbookViewId="0">
      <selection activeCell="E2" sqref="E2:E9"/>
    </sheetView>
  </sheetViews>
  <sheetFormatPr baseColWidth="10" defaultRowHeight="15" x14ac:dyDescent="0.25"/>
  <cols>
    <col min="5" max="5" width="19.140625" bestFit="1" customWidth="1"/>
    <col min="9" max="9" width="41.42578125" customWidth="1"/>
    <col min="10" max="10" width="24.28515625" customWidth="1"/>
    <col min="11" max="11" width="14.5703125" customWidth="1"/>
    <col min="12" max="12" width="14.85546875" customWidth="1"/>
    <col min="13" max="13" width="14.42578125" customWidth="1"/>
    <col min="14" max="14" width="14.28515625" customWidth="1"/>
    <col min="15" max="15" width="15.7109375" customWidth="1"/>
    <col min="16" max="16" width="13.85546875" customWidth="1"/>
    <col min="17" max="17" width="12.7109375" bestFit="1" customWidth="1"/>
    <col min="18" max="19" width="14.28515625" bestFit="1" customWidth="1"/>
    <col min="20" max="20" width="12.42578125" customWidth="1"/>
    <col min="21" max="21" width="14.28515625" bestFit="1" customWidth="1"/>
  </cols>
  <sheetData>
    <row r="1" spans="1:24" ht="30.7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>
        <v>2011</v>
      </c>
      <c r="L1" s="14">
        <v>2012</v>
      </c>
      <c r="M1" s="14">
        <v>2013</v>
      </c>
      <c r="N1" s="14">
        <v>2014</v>
      </c>
      <c r="O1" s="15">
        <v>2015</v>
      </c>
      <c r="P1" s="16">
        <v>2016</v>
      </c>
      <c r="Q1" s="16">
        <v>2017</v>
      </c>
      <c r="R1" s="16">
        <v>2018</v>
      </c>
      <c r="S1" s="16">
        <v>2019</v>
      </c>
      <c r="T1" s="17">
        <v>2020</v>
      </c>
      <c r="U1" s="16">
        <v>2021</v>
      </c>
      <c r="V1" s="18">
        <v>2022</v>
      </c>
      <c r="W1" s="16">
        <v>2023</v>
      </c>
      <c r="X1" s="18">
        <v>2024</v>
      </c>
    </row>
    <row r="2" spans="1:24" ht="27.75" x14ac:dyDescent="0.65">
      <c r="B2" s="3" t="s">
        <v>10</v>
      </c>
      <c r="D2" s="19" t="s">
        <v>249</v>
      </c>
      <c r="E2" s="20" t="s">
        <v>245</v>
      </c>
      <c r="F2">
        <v>1</v>
      </c>
      <c r="G2">
        <v>1</v>
      </c>
      <c r="I2" s="21" t="s">
        <v>77</v>
      </c>
      <c r="J2" s="22" t="s">
        <v>25</v>
      </c>
      <c r="K2" s="23">
        <v>57083.214222400013</v>
      </c>
      <c r="L2" s="23">
        <v>75031.685249599977</v>
      </c>
      <c r="M2" s="23">
        <v>78692.756836499873</v>
      </c>
      <c r="N2" s="23">
        <v>78811.793316699972</v>
      </c>
      <c r="O2" s="23">
        <v>63982.04983749993</v>
      </c>
      <c r="P2" s="23">
        <v>60712.745344000992</v>
      </c>
      <c r="Q2" s="23">
        <v>80088.860730285989</v>
      </c>
      <c r="R2" s="23">
        <v>106336.00874095001</v>
      </c>
      <c r="S2" s="23">
        <v>105035.31032339996</v>
      </c>
      <c r="T2" s="23">
        <v>103260.15291423998</v>
      </c>
      <c r="U2" s="23">
        <v>132938.76201086998</v>
      </c>
      <c r="V2" s="23">
        <v>181457.54709377009</v>
      </c>
      <c r="W2" s="23">
        <v>175934.14527067001</v>
      </c>
      <c r="X2" s="23">
        <v>187826.73199667994</v>
      </c>
    </row>
    <row r="3" spans="1:24" ht="27.75" x14ac:dyDescent="0.25">
      <c r="B3" s="3" t="s">
        <v>10</v>
      </c>
      <c r="D3" s="19" t="s">
        <v>249</v>
      </c>
      <c r="E3" s="20" t="s">
        <v>245</v>
      </c>
      <c r="F3">
        <v>2</v>
      </c>
      <c r="G3">
        <v>2</v>
      </c>
      <c r="H3">
        <v>1</v>
      </c>
      <c r="I3" s="24" t="s">
        <v>26</v>
      </c>
      <c r="J3" s="22" t="s">
        <v>25</v>
      </c>
      <c r="K3" s="23">
        <v>16907.698976299998</v>
      </c>
      <c r="L3" s="23">
        <v>19657.842793999993</v>
      </c>
      <c r="M3" s="23">
        <v>20181.040090799987</v>
      </c>
      <c r="N3" s="23">
        <v>19817.628954899999</v>
      </c>
      <c r="O3" s="25">
        <v>13744.99990049999</v>
      </c>
      <c r="P3" s="25">
        <v>14443.052527300015</v>
      </c>
      <c r="Q3" s="23">
        <v>24002.332262199991</v>
      </c>
      <c r="R3" s="23">
        <v>37040.273308620002</v>
      </c>
      <c r="S3" s="23">
        <v>35012.848552619987</v>
      </c>
      <c r="T3" s="23">
        <v>29602.38050101</v>
      </c>
      <c r="U3" s="23">
        <v>36239.95257917999</v>
      </c>
      <c r="V3" s="23">
        <v>71738.925988689953</v>
      </c>
      <c r="W3" s="23">
        <v>63811.623659650024</v>
      </c>
      <c r="X3" s="23">
        <v>64324.992325749998</v>
      </c>
    </row>
    <row r="4" spans="1:24" ht="27.75" x14ac:dyDescent="0.65">
      <c r="B4" s="3" t="s">
        <v>10</v>
      </c>
      <c r="D4" s="19" t="s">
        <v>249</v>
      </c>
      <c r="E4" s="20" t="s">
        <v>245</v>
      </c>
      <c r="F4">
        <v>3</v>
      </c>
      <c r="G4">
        <v>3</v>
      </c>
      <c r="H4">
        <v>1</v>
      </c>
      <c r="I4" s="21" t="s">
        <v>27</v>
      </c>
      <c r="J4" s="22" t="s">
        <v>25</v>
      </c>
      <c r="K4" s="23">
        <v>9334.9816341999995</v>
      </c>
      <c r="L4" s="23">
        <v>12103.415682800001</v>
      </c>
      <c r="M4" s="23">
        <v>12574.375988600003</v>
      </c>
      <c r="N4" s="23">
        <v>12687.761898799998</v>
      </c>
      <c r="O4" s="25">
        <v>14345.355762599997</v>
      </c>
      <c r="P4" s="25">
        <v>12834.9958389</v>
      </c>
      <c r="Q4" s="23">
        <v>16909.993120499992</v>
      </c>
      <c r="R4" s="23">
        <v>19824.244951364999</v>
      </c>
      <c r="S4" s="23">
        <v>19978.252538659999</v>
      </c>
      <c r="T4" s="23">
        <v>29270.306892669967</v>
      </c>
      <c r="U4" s="23">
        <v>33575.930222820025</v>
      </c>
      <c r="V4" s="23">
        <v>40059.219254249991</v>
      </c>
      <c r="W4" s="23">
        <v>42321.701455769908</v>
      </c>
      <c r="X4" s="23">
        <v>43362.666065519865</v>
      </c>
    </row>
    <row r="5" spans="1:24" ht="27.75" x14ac:dyDescent="0.65">
      <c r="B5" s="3" t="s">
        <v>10</v>
      </c>
      <c r="D5" s="19" t="s">
        <v>249</v>
      </c>
      <c r="E5" s="20" t="s">
        <v>245</v>
      </c>
      <c r="F5">
        <v>4</v>
      </c>
      <c r="G5">
        <v>4</v>
      </c>
      <c r="H5">
        <v>1</v>
      </c>
      <c r="I5" s="21" t="s">
        <v>214</v>
      </c>
      <c r="J5" s="22" t="s">
        <v>25</v>
      </c>
      <c r="K5" s="23">
        <v>11796.576106</v>
      </c>
      <c r="L5" s="23">
        <v>15108.514742100009</v>
      </c>
      <c r="M5" s="23">
        <v>20592.056583599933</v>
      </c>
      <c r="N5" s="23">
        <v>17243.562624099952</v>
      </c>
      <c r="O5" s="25">
        <v>12582.897419399967</v>
      </c>
      <c r="P5" s="25">
        <v>11051.10248670096</v>
      </c>
      <c r="Q5" s="23">
        <v>12736.477699999992</v>
      </c>
      <c r="R5" s="23">
        <v>13082.21800988</v>
      </c>
      <c r="S5" s="23">
        <v>13662.600540349988</v>
      </c>
      <c r="T5" s="23">
        <v>13188.368523270005</v>
      </c>
      <c r="U5" s="23">
        <v>15932.32731119999</v>
      </c>
      <c r="V5" s="23">
        <v>16060.474040600058</v>
      </c>
      <c r="W5" s="23">
        <v>21274.621142680036</v>
      </c>
      <c r="X5" s="23">
        <v>23218.708932290057</v>
      </c>
    </row>
    <row r="6" spans="1:24" ht="27.75" x14ac:dyDescent="0.65">
      <c r="B6" s="3" t="s">
        <v>10</v>
      </c>
      <c r="D6" s="19" t="s">
        <v>249</v>
      </c>
      <c r="E6" s="20" t="s">
        <v>245</v>
      </c>
      <c r="F6">
        <v>5</v>
      </c>
      <c r="G6">
        <v>5</v>
      </c>
      <c r="H6">
        <v>1</v>
      </c>
      <c r="I6" s="21" t="s">
        <v>215</v>
      </c>
      <c r="J6" s="22" t="s">
        <v>25</v>
      </c>
      <c r="K6" s="23">
        <v>5777.1962358000037</v>
      </c>
      <c r="L6" s="23">
        <v>6954.3143204999933</v>
      </c>
      <c r="M6" s="23">
        <v>7566.9811610999959</v>
      </c>
      <c r="N6" s="23">
        <v>8202.2574524000192</v>
      </c>
      <c r="O6" s="25">
        <v>8077.4071325999857</v>
      </c>
      <c r="P6" s="25">
        <v>7072.2175991000031</v>
      </c>
      <c r="Q6" s="23">
        <v>7643.7667462860109</v>
      </c>
      <c r="R6" s="23">
        <v>10312.913017994993</v>
      </c>
      <c r="S6" s="23">
        <v>11406.957848319998</v>
      </c>
      <c r="T6" s="23">
        <v>9188.4319473000087</v>
      </c>
      <c r="U6" s="23">
        <v>9516.5529576899789</v>
      </c>
      <c r="V6" s="23">
        <v>22948.088286210001</v>
      </c>
      <c r="W6" s="23">
        <v>13568.812656280013</v>
      </c>
      <c r="X6" s="23">
        <v>16008.026928940004</v>
      </c>
    </row>
    <row r="7" spans="1:24" ht="27.75" x14ac:dyDescent="0.65">
      <c r="B7" s="3" t="s">
        <v>10</v>
      </c>
      <c r="D7" s="19" t="s">
        <v>249</v>
      </c>
      <c r="E7" s="20" t="s">
        <v>245</v>
      </c>
      <c r="F7">
        <v>6</v>
      </c>
      <c r="G7">
        <v>6</v>
      </c>
      <c r="H7">
        <v>1</v>
      </c>
      <c r="I7" s="21" t="s">
        <v>28</v>
      </c>
      <c r="J7" s="22" t="s">
        <v>25</v>
      </c>
      <c r="K7" s="23">
        <v>6411.3692669999973</v>
      </c>
      <c r="L7" s="23">
        <v>8207.7760989999842</v>
      </c>
      <c r="M7" s="23">
        <v>7612.1504104999849</v>
      </c>
      <c r="N7" s="23">
        <v>10084.050558499994</v>
      </c>
      <c r="O7" s="25">
        <v>5828.2947632999858</v>
      </c>
      <c r="P7" s="25">
        <v>4640.109614200016</v>
      </c>
      <c r="Q7" s="23">
        <v>6413.4975317999961</v>
      </c>
      <c r="R7" s="23">
        <v>11293.66807723001</v>
      </c>
      <c r="S7" s="23">
        <v>7860.9153651399929</v>
      </c>
      <c r="T7" s="23">
        <v>8696.971595670002</v>
      </c>
      <c r="U7" s="23">
        <v>14580.372996550015</v>
      </c>
      <c r="V7" s="23">
        <v>11547.240661300024</v>
      </c>
      <c r="W7" s="23">
        <v>13763.958515430026</v>
      </c>
      <c r="X7" s="23">
        <v>18830.180153789999</v>
      </c>
    </row>
    <row r="8" spans="1:24" ht="27.75" x14ac:dyDescent="0.65">
      <c r="B8" s="3" t="s">
        <v>10</v>
      </c>
      <c r="D8" s="19" t="s">
        <v>249</v>
      </c>
      <c r="E8" s="20" t="s">
        <v>245</v>
      </c>
      <c r="F8">
        <v>7</v>
      </c>
      <c r="G8">
        <v>7</v>
      </c>
      <c r="H8">
        <v>1</v>
      </c>
      <c r="I8" s="21" t="s">
        <v>29</v>
      </c>
      <c r="J8" s="22" t="s">
        <v>25</v>
      </c>
      <c r="K8" s="23">
        <v>2038.7578085000002</v>
      </c>
      <c r="L8" s="23">
        <v>3788.9421469000004</v>
      </c>
      <c r="M8" s="23">
        <v>4271.2814078999991</v>
      </c>
      <c r="N8" s="23">
        <v>4042.4286612000001</v>
      </c>
      <c r="O8" s="25">
        <v>3388.7115279000013</v>
      </c>
      <c r="P8" s="25">
        <v>3438.5073014999998</v>
      </c>
      <c r="Q8" s="23">
        <v>3919.0035472000013</v>
      </c>
      <c r="R8" s="23">
        <v>4961.1269208699996</v>
      </c>
      <c r="S8" s="23">
        <v>4792.3641042400013</v>
      </c>
      <c r="T8" s="23">
        <v>5521.6282243199867</v>
      </c>
      <c r="U8" s="23">
        <v>8873.7398245099921</v>
      </c>
      <c r="V8" s="23">
        <v>7354.6626708100048</v>
      </c>
      <c r="W8" s="23">
        <v>9990.2955533900276</v>
      </c>
      <c r="X8" s="23">
        <v>8798.5172837399932</v>
      </c>
    </row>
    <row r="9" spans="1:24" ht="27.75" x14ac:dyDescent="0.65">
      <c r="B9" s="3" t="s">
        <v>10</v>
      </c>
      <c r="D9" s="19" t="s">
        <v>249</v>
      </c>
      <c r="E9" s="20" t="s">
        <v>245</v>
      </c>
      <c r="F9">
        <v>8</v>
      </c>
      <c r="G9">
        <v>8</v>
      </c>
      <c r="H9">
        <v>1</v>
      </c>
      <c r="I9" s="21" t="s">
        <v>30</v>
      </c>
      <c r="J9" s="22" t="s">
        <v>25</v>
      </c>
      <c r="K9" s="23">
        <v>4816.6341946000175</v>
      </c>
      <c r="L9" s="23">
        <v>9210.8794643000001</v>
      </c>
      <c r="M9" s="23">
        <v>5894.871193999963</v>
      </c>
      <c r="N9" s="23">
        <v>6734.1031668000069</v>
      </c>
      <c r="O9" s="25">
        <v>6014.3833312000061</v>
      </c>
      <c r="P9" s="25">
        <v>7232.7599762999962</v>
      </c>
      <c r="Q9" s="23">
        <v>8463.7898223000084</v>
      </c>
      <c r="R9" s="23">
        <v>9821.5644549900026</v>
      </c>
      <c r="S9" s="23">
        <v>12321.37137406999</v>
      </c>
      <c r="T9" s="23">
        <v>7792.0652300000002</v>
      </c>
      <c r="U9" s="23">
        <v>14219.886118919967</v>
      </c>
      <c r="V9" s="23">
        <v>11748.936191910065</v>
      </c>
      <c r="W9" s="23">
        <v>11203.132287470002</v>
      </c>
      <c r="X9" s="23">
        <v>13283.640306649993</v>
      </c>
    </row>
    <row r="10" spans="1:24" ht="27.75" x14ac:dyDescent="0.65">
      <c r="J10" s="26"/>
      <c r="K10" s="27"/>
      <c r="L10" s="27"/>
      <c r="M10" s="27"/>
      <c r="N10" s="27"/>
      <c r="O10" s="27"/>
      <c r="P10" s="28"/>
      <c r="Q10" s="29"/>
      <c r="R10" s="29"/>
      <c r="S10" s="29"/>
      <c r="T10" s="29"/>
      <c r="U10" s="29"/>
      <c r="V10" s="29"/>
      <c r="W1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F598-322C-400F-9E88-70F7F85124FF}">
  <dimension ref="A1:X62"/>
  <sheetViews>
    <sheetView zoomScale="89" workbookViewId="0">
      <selection activeCell="D2" sqref="D2:D62"/>
    </sheetView>
  </sheetViews>
  <sheetFormatPr baseColWidth="10" defaultRowHeight="15" x14ac:dyDescent="0.25"/>
  <cols>
    <col min="9" max="9" width="56.7109375" customWidth="1"/>
    <col min="20" max="24" width="12.140625" bestFit="1" customWidth="1"/>
  </cols>
  <sheetData>
    <row r="1" spans="1:24" ht="30.75" x14ac:dyDescent="0.6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77">
        <v>2011</v>
      </c>
      <c r="L1" s="77">
        <v>2012</v>
      </c>
      <c r="M1" s="77">
        <v>2013</v>
      </c>
      <c r="N1" s="77">
        <v>2014</v>
      </c>
      <c r="O1" s="77">
        <v>2015</v>
      </c>
      <c r="P1" s="77">
        <v>2016</v>
      </c>
      <c r="Q1" s="77">
        <v>2017</v>
      </c>
      <c r="R1" s="77">
        <v>2018</v>
      </c>
      <c r="S1" s="77">
        <v>2019</v>
      </c>
      <c r="T1" s="77">
        <v>2020</v>
      </c>
      <c r="U1" s="77">
        <v>2021</v>
      </c>
      <c r="V1" s="77">
        <v>2022</v>
      </c>
      <c r="W1" s="77">
        <v>2023</v>
      </c>
      <c r="X1" s="77">
        <v>2024</v>
      </c>
    </row>
    <row r="2" spans="1:24" ht="27.75" x14ac:dyDescent="0.65">
      <c r="D2" s="19" t="s">
        <v>248</v>
      </c>
      <c r="E2" s="19" t="s">
        <v>245</v>
      </c>
      <c r="F2">
        <v>1</v>
      </c>
      <c r="G2">
        <v>1</v>
      </c>
      <c r="I2" s="78" t="s">
        <v>77</v>
      </c>
      <c r="J2" s="79" t="s">
        <v>25</v>
      </c>
      <c r="K2" s="80">
        <v>57083.214222399976</v>
      </c>
      <c r="L2" s="80">
        <v>75031.685249599948</v>
      </c>
      <c r="M2" s="80">
        <v>78692.75683649999</v>
      </c>
      <c r="N2" s="80">
        <v>78811.793316700074</v>
      </c>
      <c r="O2" s="80">
        <v>63982.049837499988</v>
      </c>
      <c r="P2" s="80">
        <v>60712.745344000985</v>
      </c>
      <c r="Q2" s="80">
        <v>80088.860730286047</v>
      </c>
      <c r="R2" s="80">
        <v>106336.00874095004</v>
      </c>
      <c r="S2" s="80">
        <v>105035.31032340002</v>
      </c>
      <c r="T2" s="81">
        <v>103260.15291423978</v>
      </c>
      <c r="U2" s="81">
        <v>132938.76201086934</v>
      </c>
      <c r="V2" s="81">
        <v>181457.54709377079</v>
      </c>
      <c r="W2" s="81">
        <v>175934.14527067012</v>
      </c>
      <c r="X2" s="81">
        <v>187826.73199668157</v>
      </c>
    </row>
    <row r="3" spans="1:24" ht="27.75" x14ac:dyDescent="0.65">
      <c r="D3" s="19" t="s">
        <v>248</v>
      </c>
      <c r="E3" s="19" t="s">
        <v>245</v>
      </c>
      <c r="F3">
        <v>2</v>
      </c>
      <c r="G3">
        <v>2</v>
      </c>
      <c r="H3">
        <v>1</v>
      </c>
      <c r="I3" s="31" t="s">
        <v>78</v>
      </c>
      <c r="J3" s="79" t="s">
        <v>25</v>
      </c>
      <c r="K3" s="82">
        <v>4200.2042164000004</v>
      </c>
      <c r="L3" s="82">
        <v>5186.6841796999988</v>
      </c>
      <c r="M3" s="82">
        <v>5134.6740114999984</v>
      </c>
      <c r="N3" s="82">
        <v>6563.717710400002</v>
      </c>
      <c r="O3" s="82">
        <v>8828.5545890999929</v>
      </c>
      <c r="P3" s="82">
        <v>5780.4054429999915</v>
      </c>
      <c r="Q3" s="82">
        <v>7135.1509348640038</v>
      </c>
      <c r="R3" s="82">
        <v>7188.1196854400041</v>
      </c>
      <c r="S3" s="82">
        <v>9072.6733560499979</v>
      </c>
      <c r="T3" s="81">
        <v>7895.4384134499933</v>
      </c>
      <c r="U3" s="81">
        <v>15892.289882459967</v>
      </c>
      <c r="V3" s="81">
        <v>17745.189570370017</v>
      </c>
      <c r="W3" s="81">
        <v>16679.706970580028</v>
      </c>
      <c r="X3" s="81">
        <v>19586.529215229973</v>
      </c>
    </row>
    <row r="4" spans="1:24" ht="27.75" x14ac:dyDescent="0.65">
      <c r="D4" s="19" t="s">
        <v>248</v>
      </c>
      <c r="E4" s="19" t="s">
        <v>245</v>
      </c>
      <c r="F4">
        <v>3</v>
      </c>
      <c r="G4">
        <v>3</v>
      </c>
      <c r="H4">
        <v>2</v>
      </c>
      <c r="I4" s="31" t="s">
        <v>79</v>
      </c>
      <c r="J4" s="79" t="s">
        <v>25</v>
      </c>
      <c r="K4" s="82">
        <v>1662.5682416999996</v>
      </c>
      <c r="L4" s="82">
        <v>2339.0546998999985</v>
      </c>
      <c r="M4" s="82">
        <v>2689.2662278999983</v>
      </c>
      <c r="N4" s="82">
        <v>3685.4006407000038</v>
      </c>
      <c r="O4" s="82">
        <v>5040.6108391999924</v>
      </c>
      <c r="P4" s="82">
        <v>4057.1220308999905</v>
      </c>
      <c r="Q4" s="82">
        <v>4990.6282747000032</v>
      </c>
      <c r="R4" s="82">
        <v>4786.7675328700052</v>
      </c>
      <c r="S4" s="82">
        <v>3887.1489035799968</v>
      </c>
      <c r="T4" s="81">
        <v>4969.1697645100021</v>
      </c>
      <c r="U4" s="81">
        <v>10796.930874339994</v>
      </c>
      <c r="V4" s="83">
        <v>10688.906320310001</v>
      </c>
      <c r="W4" s="83">
        <v>12071.477554360014</v>
      </c>
      <c r="X4" s="83">
        <v>10155.940690670001</v>
      </c>
    </row>
    <row r="5" spans="1:24" ht="27.75" x14ac:dyDescent="0.65">
      <c r="D5" s="19" t="s">
        <v>248</v>
      </c>
      <c r="E5" s="19" t="s">
        <v>245</v>
      </c>
      <c r="F5">
        <v>4</v>
      </c>
      <c r="G5">
        <v>4</v>
      </c>
      <c r="H5">
        <v>3</v>
      </c>
      <c r="I5" s="31" t="s">
        <v>59</v>
      </c>
      <c r="J5" s="79" t="s">
        <v>25</v>
      </c>
      <c r="K5" s="82">
        <v>1343.9200745999995</v>
      </c>
      <c r="L5" s="82">
        <v>2081.3422670999985</v>
      </c>
      <c r="M5" s="82">
        <v>2343.6827170999986</v>
      </c>
      <c r="N5" s="82">
        <v>3158.8442807000033</v>
      </c>
      <c r="O5" s="82">
        <v>4612.6554356999923</v>
      </c>
      <c r="P5" s="82">
        <v>3608.1758487999905</v>
      </c>
      <c r="Q5" s="82">
        <v>3845.3796168000035</v>
      </c>
      <c r="R5" s="82">
        <v>3525.8691234300049</v>
      </c>
      <c r="S5" s="82">
        <v>3061.0090625299968</v>
      </c>
      <c r="T5" s="81">
        <v>3001.6509813900011</v>
      </c>
      <c r="U5" s="81">
        <v>7380.2517091699956</v>
      </c>
      <c r="V5" s="83">
        <v>6815.6971749800014</v>
      </c>
      <c r="W5" s="83">
        <v>8114.8026375100117</v>
      </c>
      <c r="X5" s="83">
        <v>6415.213142990001</v>
      </c>
    </row>
    <row r="6" spans="1:24" ht="27.75" x14ac:dyDescent="0.65">
      <c r="D6" s="19" t="s">
        <v>248</v>
      </c>
      <c r="E6" s="19" t="s">
        <v>245</v>
      </c>
      <c r="F6">
        <v>5</v>
      </c>
      <c r="G6">
        <v>5</v>
      </c>
      <c r="H6">
        <v>3</v>
      </c>
      <c r="I6" s="31" t="s">
        <v>69</v>
      </c>
      <c r="J6" s="79" t="s">
        <v>25</v>
      </c>
      <c r="K6" s="82">
        <v>5.0711062</v>
      </c>
      <c r="L6" s="82">
        <v>30.775255999999999</v>
      </c>
      <c r="M6" s="82">
        <v>51.938013099999999</v>
      </c>
      <c r="N6" s="82">
        <v>78.488711100000017</v>
      </c>
      <c r="O6" s="82">
        <v>83.359927199999987</v>
      </c>
      <c r="P6" s="82">
        <v>109.45360419999999</v>
      </c>
      <c r="Q6" s="82">
        <v>813.37632940000015</v>
      </c>
      <c r="R6" s="82">
        <v>988.47676728000033</v>
      </c>
      <c r="S6" s="82">
        <v>503.77669248000029</v>
      </c>
      <c r="T6" s="81">
        <v>1553.7010581500003</v>
      </c>
      <c r="U6" s="81">
        <v>2798.2759866700007</v>
      </c>
      <c r="V6" s="83">
        <v>3437.1694654699995</v>
      </c>
      <c r="W6" s="83">
        <v>3469.1562388700022</v>
      </c>
      <c r="X6" s="83">
        <v>3235.1361433300003</v>
      </c>
    </row>
    <row r="7" spans="1:24" ht="27.75" x14ac:dyDescent="0.65">
      <c r="D7" s="19" t="s">
        <v>248</v>
      </c>
      <c r="E7" s="19" t="s">
        <v>245</v>
      </c>
      <c r="F7">
        <v>6</v>
      </c>
      <c r="G7">
        <v>6</v>
      </c>
      <c r="H7">
        <v>3</v>
      </c>
      <c r="I7" s="31" t="s">
        <v>80</v>
      </c>
      <c r="J7" s="79" t="s">
        <v>25</v>
      </c>
      <c r="K7" s="82">
        <v>313.57706090000011</v>
      </c>
      <c r="L7" s="82">
        <v>226.9371768000002</v>
      </c>
      <c r="M7" s="82">
        <v>293.64549769999979</v>
      </c>
      <c r="N7" s="82">
        <v>448.06764890000056</v>
      </c>
      <c r="O7" s="82">
        <v>344.5954763000002</v>
      </c>
      <c r="P7" s="82">
        <v>339.49257790000007</v>
      </c>
      <c r="Q7" s="82">
        <v>331.87232849999998</v>
      </c>
      <c r="R7" s="82">
        <v>272.42164215999986</v>
      </c>
      <c r="S7" s="82">
        <v>322.36314856999979</v>
      </c>
      <c r="T7" s="81">
        <v>413.81772496999997</v>
      </c>
      <c r="U7" s="81">
        <v>618.40317849999985</v>
      </c>
      <c r="V7" s="81">
        <v>436.03967985999992</v>
      </c>
      <c r="W7" s="81">
        <v>487.51867797999984</v>
      </c>
      <c r="X7" s="81">
        <v>505.59140435000012</v>
      </c>
    </row>
    <row r="8" spans="1:24" ht="27.75" x14ac:dyDescent="0.65">
      <c r="D8" s="19" t="s">
        <v>248</v>
      </c>
      <c r="E8" s="19" t="s">
        <v>245</v>
      </c>
      <c r="F8">
        <v>7</v>
      </c>
      <c r="G8">
        <v>7</v>
      </c>
      <c r="H8">
        <v>1</v>
      </c>
      <c r="I8" s="31" t="s">
        <v>81</v>
      </c>
      <c r="J8" s="79" t="s">
        <v>25</v>
      </c>
      <c r="K8" s="82">
        <v>1384.8595977999996</v>
      </c>
      <c r="L8" s="82">
        <v>1325.0504519999997</v>
      </c>
      <c r="M8" s="82">
        <v>974.90012750000039</v>
      </c>
      <c r="N8" s="82">
        <v>966.98115319999988</v>
      </c>
      <c r="O8" s="82">
        <v>1039.8636544000008</v>
      </c>
      <c r="P8" s="82">
        <v>1035.9798498</v>
      </c>
      <c r="Q8" s="82">
        <v>1014.5416941640003</v>
      </c>
      <c r="R8" s="82">
        <v>1251.92170758</v>
      </c>
      <c r="S8" s="82">
        <v>3793.4208789800014</v>
      </c>
      <c r="T8" s="81">
        <v>1529.1883981599999</v>
      </c>
      <c r="U8" s="81">
        <v>2476.1342158999996</v>
      </c>
      <c r="V8" s="83">
        <v>5154.9742297600005</v>
      </c>
      <c r="W8" s="83">
        <v>1837.0903479999999</v>
      </c>
      <c r="X8" s="83">
        <v>5900.6504341500004</v>
      </c>
    </row>
    <row r="9" spans="1:24" ht="27.75" x14ac:dyDescent="0.65">
      <c r="D9" s="19" t="s">
        <v>248</v>
      </c>
      <c r="E9" s="19" t="s">
        <v>245</v>
      </c>
      <c r="F9">
        <v>8</v>
      </c>
      <c r="G9">
        <v>8</v>
      </c>
      <c r="H9">
        <v>7</v>
      </c>
      <c r="I9" s="31" t="s">
        <v>71</v>
      </c>
      <c r="J9" s="79" t="s">
        <v>25</v>
      </c>
      <c r="K9" s="82">
        <v>1161.7434955999997</v>
      </c>
      <c r="L9" s="82">
        <v>788.70320640000023</v>
      </c>
      <c r="M9" s="82">
        <v>741.37196040000038</v>
      </c>
      <c r="N9" s="82">
        <v>796.85696359999986</v>
      </c>
      <c r="O9" s="82">
        <v>609.94586150000055</v>
      </c>
      <c r="P9" s="82">
        <v>522.03989600000011</v>
      </c>
      <c r="Q9" s="82">
        <v>587.57289390000028</v>
      </c>
      <c r="R9" s="82">
        <v>560.1732294599999</v>
      </c>
      <c r="S9" s="82">
        <v>1477.288617610001</v>
      </c>
      <c r="T9" s="81">
        <v>516.55510663999985</v>
      </c>
      <c r="U9" s="81">
        <v>1337.38815402</v>
      </c>
      <c r="V9" s="83">
        <v>1816.2537690099998</v>
      </c>
      <c r="W9" s="83">
        <v>890.26300070000002</v>
      </c>
      <c r="X9" s="83">
        <v>853.97214546999976</v>
      </c>
    </row>
    <row r="10" spans="1:24" ht="27.75" x14ac:dyDescent="0.65">
      <c r="D10" s="19" t="s">
        <v>248</v>
      </c>
      <c r="E10" s="19" t="s">
        <v>245</v>
      </c>
      <c r="F10">
        <v>9</v>
      </c>
      <c r="G10">
        <v>9</v>
      </c>
      <c r="H10">
        <v>7</v>
      </c>
      <c r="I10" s="31" t="s">
        <v>82</v>
      </c>
      <c r="J10" s="79" t="s">
        <v>25</v>
      </c>
      <c r="K10" s="82">
        <v>11.051951899999999</v>
      </c>
      <c r="L10" s="82">
        <v>7.7196111999999992</v>
      </c>
      <c r="M10" s="82">
        <v>26.4992546</v>
      </c>
      <c r="N10" s="82">
        <v>13.235401999999997</v>
      </c>
      <c r="O10" s="82">
        <v>221.13480920000006</v>
      </c>
      <c r="P10" s="82">
        <v>107.94538370000002</v>
      </c>
      <c r="Q10" s="82">
        <v>42.771529399999991</v>
      </c>
      <c r="R10" s="82">
        <v>253.84187782999999</v>
      </c>
      <c r="S10" s="82">
        <v>1334.3859274400002</v>
      </c>
      <c r="T10" s="81">
        <v>706.75359228000002</v>
      </c>
      <c r="U10" s="81">
        <v>769.55638803000011</v>
      </c>
      <c r="V10" s="83">
        <v>1077.9538306500001</v>
      </c>
      <c r="W10" s="83">
        <v>630.77034658000002</v>
      </c>
      <c r="X10" s="83">
        <v>1080.66843064</v>
      </c>
    </row>
    <row r="11" spans="1:24" ht="27.75" x14ac:dyDescent="0.65">
      <c r="D11" s="19" t="s">
        <v>248</v>
      </c>
      <c r="E11" s="19" t="s">
        <v>245</v>
      </c>
      <c r="F11">
        <v>10</v>
      </c>
      <c r="G11">
        <v>10</v>
      </c>
      <c r="H11">
        <v>7</v>
      </c>
      <c r="I11" s="31" t="s">
        <v>135</v>
      </c>
      <c r="J11" s="79" t="s">
        <v>25</v>
      </c>
      <c r="K11" s="82">
        <v>174.64935770000005</v>
      </c>
      <c r="L11" s="82">
        <v>447.25709019999982</v>
      </c>
      <c r="M11" s="82">
        <v>137.89326790000001</v>
      </c>
      <c r="N11" s="82">
        <v>121.94081679999998</v>
      </c>
      <c r="O11" s="82">
        <v>153.4602203</v>
      </c>
      <c r="P11" s="82">
        <v>321.33491509999999</v>
      </c>
      <c r="Q11" s="82">
        <v>180.260576864</v>
      </c>
      <c r="R11" s="82">
        <v>147.82156706000006</v>
      </c>
      <c r="S11" s="82">
        <v>105.88361671</v>
      </c>
      <c r="T11" s="81">
        <v>96.073908680000073</v>
      </c>
      <c r="U11" s="81">
        <v>72.265699190000007</v>
      </c>
      <c r="V11" s="83">
        <v>119.87511841999999</v>
      </c>
      <c r="W11" s="83">
        <v>146.83503794000003</v>
      </c>
      <c r="X11" s="83">
        <v>548.16078842999957</v>
      </c>
    </row>
    <row r="12" spans="1:24" ht="27.75" x14ac:dyDescent="0.65">
      <c r="D12" s="19" t="s">
        <v>248</v>
      </c>
      <c r="E12" s="19" t="s">
        <v>245</v>
      </c>
      <c r="F12">
        <v>11</v>
      </c>
      <c r="G12">
        <v>11</v>
      </c>
      <c r="H12">
        <v>7</v>
      </c>
      <c r="I12" s="31" t="s">
        <v>140</v>
      </c>
      <c r="J12" s="79" t="s">
        <v>25</v>
      </c>
      <c r="K12" s="82">
        <v>3.6595364999999997</v>
      </c>
      <c r="L12" s="82">
        <v>39.499455599999983</v>
      </c>
      <c r="M12" s="82">
        <v>44.420223099999994</v>
      </c>
      <c r="N12" s="82">
        <v>8.6465615000000007</v>
      </c>
      <c r="O12" s="82">
        <v>29.158046099999989</v>
      </c>
      <c r="P12" s="82">
        <v>32.802347299999994</v>
      </c>
      <c r="Q12" s="82">
        <v>4.2406921999999998</v>
      </c>
      <c r="R12" s="82">
        <v>11.16212194</v>
      </c>
      <c r="S12" s="82">
        <v>23.077895650000002</v>
      </c>
      <c r="T12" s="81">
        <v>4.1176781199999999</v>
      </c>
      <c r="U12" s="81">
        <v>5.8633351600000001</v>
      </c>
      <c r="V12" s="83">
        <v>89.679392990000011</v>
      </c>
      <c r="W12" s="83">
        <v>60.079866389999999</v>
      </c>
      <c r="X12" s="83">
        <v>108.39499613</v>
      </c>
    </row>
    <row r="13" spans="1:24" ht="27.75" x14ac:dyDescent="0.65">
      <c r="D13" s="19" t="s">
        <v>248</v>
      </c>
      <c r="E13" s="19" t="s">
        <v>245</v>
      </c>
      <c r="F13">
        <v>12</v>
      </c>
      <c r="G13">
        <v>12</v>
      </c>
      <c r="H13">
        <v>7</v>
      </c>
      <c r="I13" s="31" t="s">
        <v>142</v>
      </c>
      <c r="J13" s="79" t="s">
        <v>25</v>
      </c>
      <c r="K13" s="82">
        <v>7.1101075999999992</v>
      </c>
      <c r="L13" s="82">
        <v>4.7608300000000006E-2</v>
      </c>
      <c r="M13" s="82">
        <v>0.37977640000000001</v>
      </c>
      <c r="N13" s="82">
        <v>4.7927128999999997</v>
      </c>
      <c r="O13" s="82">
        <v>10.5633271</v>
      </c>
      <c r="P13" s="82">
        <v>8.6206873000000002</v>
      </c>
      <c r="Q13" s="82">
        <v>14.038919500000002</v>
      </c>
      <c r="R13" s="82">
        <v>45.351562090000002</v>
      </c>
      <c r="S13" s="82">
        <v>40.567113990000003</v>
      </c>
      <c r="T13" s="81">
        <v>42.543788670000005</v>
      </c>
      <c r="U13" s="81">
        <v>9.4074842100000016</v>
      </c>
      <c r="V13" s="83">
        <v>78.003453789999995</v>
      </c>
      <c r="W13" s="83">
        <v>0.19277105999999999</v>
      </c>
      <c r="X13" s="83">
        <v>5.8996650099999997</v>
      </c>
    </row>
    <row r="14" spans="1:24" ht="27.75" x14ac:dyDescent="0.65">
      <c r="D14" s="19" t="s">
        <v>248</v>
      </c>
      <c r="E14" s="19" t="s">
        <v>245</v>
      </c>
      <c r="F14">
        <v>13</v>
      </c>
      <c r="G14">
        <v>13</v>
      </c>
      <c r="H14">
        <v>7</v>
      </c>
      <c r="I14" s="31" t="s">
        <v>143</v>
      </c>
      <c r="J14" s="79" t="s">
        <v>25</v>
      </c>
      <c r="K14" s="82">
        <v>15.528785599999999</v>
      </c>
      <c r="L14" s="82">
        <v>19.695248800000002</v>
      </c>
      <c r="M14" s="82">
        <v>5.3880140000000001</v>
      </c>
      <c r="N14" s="82">
        <v>0.241704</v>
      </c>
      <c r="O14" s="82">
        <v>0.33923550000000002</v>
      </c>
      <c r="P14" s="82">
        <v>10.890378500000001</v>
      </c>
      <c r="Q14" s="82">
        <v>23.607750299999999</v>
      </c>
      <c r="R14" s="82">
        <v>25.80328841</v>
      </c>
      <c r="S14" s="82">
        <v>33.752232459999995</v>
      </c>
      <c r="T14" s="81">
        <v>41.474640530000002</v>
      </c>
      <c r="U14" s="81">
        <v>6.3120804700000006</v>
      </c>
      <c r="V14" s="81">
        <v>2.9493799799999998</v>
      </c>
      <c r="W14" s="81">
        <v>4.4008668399999999</v>
      </c>
      <c r="X14" s="81">
        <v>2775.08762075</v>
      </c>
    </row>
    <row r="15" spans="1:24" ht="27.75" x14ac:dyDescent="0.65">
      <c r="D15" s="19" t="s">
        <v>248</v>
      </c>
      <c r="E15" s="19" t="s">
        <v>245</v>
      </c>
      <c r="F15">
        <v>14</v>
      </c>
      <c r="G15">
        <v>14</v>
      </c>
      <c r="H15">
        <v>7</v>
      </c>
      <c r="I15" s="31" t="s">
        <v>83</v>
      </c>
      <c r="J15" s="79" t="s">
        <v>25</v>
      </c>
      <c r="K15" s="82">
        <v>11.116362900000095</v>
      </c>
      <c r="L15" s="82">
        <v>22.12823149999976</v>
      </c>
      <c r="M15" s="82">
        <v>18.947631100000024</v>
      </c>
      <c r="N15" s="82">
        <v>21.266992400000095</v>
      </c>
      <c r="O15" s="82">
        <v>15.262154699999929</v>
      </c>
      <c r="P15" s="82">
        <v>32.346241899999974</v>
      </c>
      <c r="Q15" s="82">
        <v>162.04933199999999</v>
      </c>
      <c r="R15" s="82">
        <v>207.76806078999985</v>
      </c>
      <c r="S15" s="82">
        <v>778.46547512000041</v>
      </c>
      <c r="T15" s="81">
        <v>121.66968324000004</v>
      </c>
      <c r="U15" s="81">
        <v>275.34107481999945</v>
      </c>
      <c r="V15" s="83">
        <v>1970.2592849200009</v>
      </c>
      <c r="W15" s="83">
        <v>104.5484584899998</v>
      </c>
      <c r="X15" s="83">
        <v>528.46678772000087</v>
      </c>
    </row>
    <row r="16" spans="1:24" ht="27.75" x14ac:dyDescent="0.65">
      <c r="D16" s="19" t="s">
        <v>248</v>
      </c>
      <c r="E16" s="19" t="s">
        <v>245</v>
      </c>
      <c r="F16">
        <v>15</v>
      </c>
      <c r="G16">
        <v>15</v>
      </c>
      <c r="H16">
        <v>2</v>
      </c>
      <c r="I16" s="31" t="s">
        <v>84</v>
      </c>
      <c r="J16" s="79" t="s">
        <v>25</v>
      </c>
      <c r="K16" s="82">
        <v>1152.776376900001</v>
      </c>
      <c r="L16" s="82">
        <v>1522.5790278000002</v>
      </c>
      <c r="M16" s="82">
        <v>1470.5076560999994</v>
      </c>
      <c r="N16" s="82">
        <v>1911.335916499999</v>
      </c>
      <c r="O16" s="82">
        <v>2748.0800955</v>
      </c>
      <c r="P16" s="82">
        <v>687.30356230000109</v>
      </c>
      <c r="Q16" s="82">
        <v>1129.9809660000001</v>
      </c>
      <c r="R16" s="82">
        <v>1149.4304449899987</v>
      </c>
      <c r="S16" s="82">
        <v>1305.9935051299999</v>
      </c>
      <c r="T16" s="81">
        <f>T3-SUM(T4,T8)</f>
        <v>1397.0802507799917</v>
      </c>
      <c r="U16" s="81">
        <f t="shared" ref="U16:X16" si="0">U3-SUM(U4,U8)</f>
        <v>2619.2247922199731</v>
      </c>
      <c r="V16" s="81">
        <f t="shared" si="0"/>
        <v>1901.3090203000156</v>
      </c>
      <c r="W16" s="81">
        <f t="shared" si="0"/>
        <v>2771.1390682200145</v>
      </c>
      <c r="X16" s="81">
        <f t="shared" si="0"/>
        <v>3529.9380904099726</v>
      </c>
    </row>
    <row r="17" spans="4:24" ht="27.75" x14ac:dyDescent="0.65">
      <c r="D17" s="19" t="s">
        <v>248</v>
      </c>
      <c r="E17" s="19" t="s">
        <v>245</v>
      </c>
      <c r="F17">
        <v>16</v>
      </c>
      <c r="G17">
        <v>16</v>
      </c>
      <c r="H17">
        <v>1</v>
      </c>
      <c r="I17" s="31" t="s">
        <v>85</v>
      </c>
      <c r="J17" s="79" t="s">
        <v>25</v>
      </c>
      <c r="K17" s="82">
        <v>8274.0435093999931</v>
      </c>
      <c r="L17" s="82">
        <v>10698.909165900006</v>
      </c>
      <c r="M17" s="82">
        <v>11722.891057700001</v>
      </c>
      <c r="N17" s="82">
        <v>13627.808903800022</v>
      </c>
      <c r="O17" s="82">
        <v>11408.827567400018</v>
      </c>
      <c r="P17" s="82">
        <v>13148.209846600008</v>
      </c>
      <c r="Q17" s="82">
        <v>12695.901516122018</v>
      </c>
      <c r="R17" s="82">
        <v>20169.877925250003</v>
      </c>
      <c r="S17" s="82">
        <v>21138.299852429987</v>
      </c>
      <c r="T17" s="81">
        <v>19886.428770680017</v>
      </c>
      <c r="U17" s="81">
        <v>22118.758159940026</v>
      </c>
      <c r="V17" s="83">
        <v>33751.888579539998</v>
      </c>
      <c r="W17" s="83">
        <v>37656.640014889999</v>
      </c>
      <c r="X17" s="83">
        <v>36434.197997350057</v>
      </c>
    </row>
    <row r="18" spans="4:24" ht="27.75" x14ac:dyDescent="0.65">
      <c r="D18" s="19" t="s">
        <v>248</v>
      </c>
      <c r="E18" s="19" t="s">
        <v>245</v>
      </c>
      <c r="F18">
        <v>17</v>
      </c>
      <c r="G18">
        <v>17</v>
      </c>
      <c r="H18">
        <v>16</v>
      </c>
      <c r="I18" s="31" t="s">
        <v>68</v>
      </c>
      <c r="J18" s="79" t="s">
        <v>25</v>
      </c>
      <c r="K18" s="82">
        <v>1957.5618893999992</v>
      </c>
      <c r="L18" s="82">
        <v>2678.7730223000035</v>
      </c>
      <c r="M18" s="82">
        <v>2558.2978938000006</v>
      </c>
      <c r="N18" s="82">
        <v>2223.9949500999965</v>
      </c>
      <c r="O18" s="82">
        <v>1429.916966199999</v>
      </c>
      <c r="P18" s="82">
        <v>1347.2469854999999</v>
      </c>
      <c r="Q18" s="82">
        <v>1828.1113797999992</v>
      </c>
      <c r="R18" s="82">
        <v>4385.8458124600047</v>
      </c>
      <c r="S18" s="82">
        <v>2416.0122844700008</v>
      </c>
      <c r="T18" s="81">
        <v>1829.5415004499991</v>
      </c>
      <c r="U18" s="81">
        <v>4016.7787828700079</v>
      </c>
      <c r="V18" s="83">
        <v>12455.645906540001</v>
      </c>
      <c r="W18" s="83">
        <v>4144.3277724</v>
      </c>
      <c r="X18" s="83">
        <v>4822.4833492400039</v>
      </c>
    </row>
    <row r="19" spans="4:24" ht="27.75" x14ac:dyDescent="0.65">
      <c r="D19" s="19" t="s">
        <v>248</v>
      </c>
      <c r="E19" s="19" t="s">
        <v>245</v>
      </c>
      <c r="F19">
        <v>18</v>
      </c>
      <c r="G19">
        <v>18</v>
      </c>
      <c r="H19">
        <v>16</v>
      </c>
      <c r="I19" s="31" t="s">
        <v>72</v>
      </c>
      <c r="J19" s="79" t="s">
        <v>25</v>
      </c>
      <c r="K19" s="82">
        <v>3231.5641285999936</v>
      </c>
      <c r="L19" s="82">
        <v>4058.741677800002</v>
      </c>
      <c r="M19" s="82">
        <v>4439.0856302000002</v>
      </c>
      <c r="N19" s="82">
        <v>6695.2975996000268</v>
      </c>
      <c r="O19" s="82">
        <v>5529.2736456000184</v>
      </c>
      <c r="P19" s="82">
        <v>7421.1228699000085</v>
      </c>
      <c r="Q19" s="82">
        <v>6432.0446827220158</v>
      </c>
      <c r="R19" s="82">
        <v>9075.9542717699969</v>
      </c>
      <c r="S19" s="82">
        <v>11678.322492679992</v>
      </c>
      <c r="T19" s="81">
        <v>8380.5375860800141</v>
      </c>
      <c r="U19" s="81">
        <v>7960.5437978000191</v>
      </c>
      <c r="V19" s="83">
        <v>7184.7986269700004</v>
      </c>
      <c r="W19" s="83">
        <v>14011.904835020001</v>
      </c>
      <c r="X19" s="83">
        <v>19119.498190690058</v>
      </c>
    </row>
    <row r="20" spans="4:24" ht="27.75" x14ac:dyDescent="0.65">
      <c r="D20" s="19" t="s">
        <v>248</v>
      </c>
      <c r="E20" s="19" t="s">
        <v>245</v>
      </c>
      <c r="F20">
        <v>19</v>
      </c>
      <c r="G20">
        <v>19</v>
      </c>
      <c r="H20">
        <v>16</v>
      </c>
      <c r="I20" s="31" t="s">
        <v>73</v>
      </c>
      <c r="J20" s="79" t="s">
        <v>25</v>
      </c>
      <c r="K20" s="82">
        <v>139.99534850000001</v>
      </c>
      <c r="L20" s="82">
        <v>211.61305300000006</v>
      </c>
      <c r="M20" s="82">
        <v>437.19096110000032</v>
      </c>
      <c r="N20" s="82">
        <v>567.0705756000001</v>
      </c>
      <c r="O20" s="82">
        <v>622.96784189999983</v>
      </c>
      <c r="P20" s="82">
        <v>648.18228959999999</v>
      </c>
      <c r="Q20" s="82">
        <v>1255.9444895999998</v>
      </c>
      <c r="R20" s="82">
        <v>950.8481636099998</v>
      </c>
      <c r="S20" s="82">
        <v>551.02655535999997</v>
      </c>
      <c r="T20" s="81">
        <v>2090.5081085500005</v>
      </c>
      <c r="U20" s="81">
        <v>2363.1985927099995</v>
      </c>
      <c r="V20" s="83">
        <v>6217.8811570400003</v>
      </c>
      <c r="W20" s="83">
        <v>5678.5168411000004</v>
      </c>
      <c r="X20" s="83">
        <v>4148.4599194400007</v>
      </c>
    </row>
    <row r="21" spans="4:24" ht="27.75" x14ac:dyDescent="0.65">
      <c r="D21" s="19" t="s">
        <v>248</v>
      </c>
      <c r="E21" s="19" t="s">
        <v>245</v>
      </c>
      <c r="F21">
        <v>20</v>
      </c>
      <c r="G21">
        <v>20</v>
      </c>
      <c r="H21">
        <v>16</v>
      </c>
      <c r="I21" s="31" t="s">
        <v>88</v>
      </c>
      <c r="J21" s="79" t="s">
        <v>25</v>
      </c>
      <c r="K21" s="82">
        <v>828.47930399999962</v>
      </c>
      <c r="L21" s="82">
        <v>908.70679160000009</v>
      </c>
      <c r="M21" s="82">
        <v>605.33702960000016</v>
      </c>
      <c r="N21" s="82">
        <v>379.73414040000023</v>
      </c>
      <c r="O21" s="82">
        <v>260.95609359999992</v>
      </c>
      <c r="P21" s="82">
        <v>545.17044410000017</v>
      </c>
      <c r="Q21" s="82">
        <v>622.21381100000008</v>
      </c>
      <c r="R21" s="82">
        <v>841.04010949999997</v>
      </c>
      <c r="S21" s="82">
        <v>954.79175099999952</v>
      </c>
      <c r="T21" s="81">
        <v>1913.1715436700006</v>
      </c>
      <c r="U21" s="81">
        <v>2707.4190138699996</v>
      </c>
      <c r="V21" s="83">
        <v>2273.6898147600004</v>
      </c>
      <c r="W21" s="83">
        <v>5443.4642360299995</v>
      </c>
      <c r="X21" s="83">
        <v>3599.3810592500017</v>
      </c>
    </row>
    <row r="22" spans="4:24" ht="27.75" x14ac:dyDescent="0.65">
      <c r="D22" s="19" t="s">
        <v>248</v>
      </c>
      <c r="E22" s="19" t="s">
        <v>245</v>
      </c>
      <c r="F22">
        <v>21</v>
      </c>
      <c r="G22">
        <v>21</v>
      </c>
      <c r="H22">
        <v>16</v>
      </c>
      <c r="I22" s="31" t="s">
        <v>67</v>
      </c>
      <c r="J22" s="79" t="s">
        <v>25</v>
      </c>
      <c r="K22" s="82">
        <v>300.32733260000003</v>
      </c>
      <c r="L22" s="82">
        <v>325.51691909999994</v>
      </c>
      <c r="M22" s="82">
        <v>479.67320859999967</v>
      </c>
      <c r="N22" s="82">
        <v>640.46615029999987</v>
      </c>
      <c r="O22" s="82">
        <v>813.4435193999999</v>
      </c>
      <c r="P22" s="82">
        <v>670.3833095</v>
      </c>
      <c r="Q22" s="82">
        <v>747.72468620000052</v>
      </c>
      <c r="R22" s="82">
        <v>2196.6954107299998</v>
      </c>
      <c r="S22" s="82">
        <v>2424.9638004599997</v>
      </c>
      <c r="T22" s="81">
        <v>1725.1577169599982</v>
      </c>
      <c r="U22" s="81">
        <v>1845.6210562399979</v>
      </c>
      <c r="V22" s="83">
        <v>2069.0745305099999</v>
      </c>
      <c r="W22" s="83">
        <v>3929.0698694099997</v>
      </c>
      <c r="X22" s="83">
        <v>1798.2327264099997</v>
      </c>
    </row>
    <row r="23" spans="4:24" ht="27.75" x14ac:dyDescent="0.65">
      <c r="D23" s="19" t="s">
        <v>248</v>
      </c>
      <c r="E23" s="19" t="s">
        <v>245</v>
      </c>
      <c r="F23">
        <v>22</v>
      </c>
      <c r="G23">
        <v>22</v>
      </c>
      <c r="H23">
        <v>16</v>
      </c>
      <c r="I23" s="31" t="s">
        <v>74</v>
      </c>
      <c r="J23" s="79" t="s">
        <v>25</v>
      </c>
      <c r="K23" s="82">
        <v>224.00532459999997</v>
      </c>
      <c r="L23" s="82">
        <v>330.89699769999999</v>
      </c>
      <c r="M23" s="82">
        <v>673.34744729999966</v>
      </c>
      <c r="N23" s="82">
        <v>931.68712910000011</v>
      </c>
      <c r="O23" s="82">
        <v>784.33152889999974</v>
      </c>
      <c r="P23" s="82">
        <v>890.02862179999954</v>
      </c>
      <c r="Q23" s="82">
        <v>553.88753750000035</v>
      </c>
      <c r="R23" s="82">
        <v>656.52093134999996</v>
      </c>
      <c r="S23" s="82">
        <v>887.23371100999998</v>
      </c>
      <c r="T23" s="81">
        <v>1968.3209455500003</v>
      </c>
      <c r="U23" s="81">
        <v>1291.7563640499995</v>
      </c>
      <c r="V23" s="83">
        <v>1458.46969642</v>
      </c>
      <c r="W23" s="83">
        <v>1531.04450565</v>
      </c>
      <c r="X23" s="83">
        <v>330.71579076</v>
      </c>
    </row>
    <row r="24" spans="4:24" ht="27.75" x14ac:dyDescent="0.65">
      <c r="D24" s="19" t="s">
        <v>248</v>
      </c>
      <c r="E24" s="19" t="s">
        <v>245</v>
      </c>
      <c r="F24">
        <v>23</v>
      </c>
      <c r="G24">
        <v>23</v>
      </c>
      <c r="H24">
        <v>16</v>
      </c>
      <c r="I24" s="31" t="s">
        <v>66</v>
      </c>
      <c r="J24" s="79" t="s">
        <v>25</v>
      </c>
      <c r="K24" s="82">
        <v>586.03397639999969</v>
      </c>
      <c r="L24" s="82">
        <v>657.50983290000011</v>
      </c>
      <c r="M24" s="82">
        <v>509.41298499999971</v>
      </c>
      <c r="N24" s="82">
        <v>547.37547769999992</v>
      </c>
      <c r="O24" s="82">
        <v>784.01586700000007</v>
      </c>
      <c r="P24" s="82">
        <v>622.51968569999985</v>
      </c>
      <c r="Q24" s="82">
        <v>590.15748589999998</v>
      </c>
      <c r="R24" s="82">
        <v>1193.5545404899999</v>
      </c>
      <c r="S24" s="82">
        <v>1354.8524597900002</v>
      </c>
      <c r="T24" s="81">
        <v>1064.3404255399994</v>
      </c>
      <c r="U24" s="81">
        <v>1165.5956010399996</v>
      </c>
      <c r="V24" s="83">
        <v>1149.7345063299999</v>
      </c>
      <c r="W24" s="83">
        <v>1535.5732686400002</v>
      </c>
      <c r="X24" s="83">
        <v>1580.0190946100004</v>
      </c>
    </row>
    <row r="25" spans="4:24" ht="27.75" x14ac:dyDescent="0.65">
      <c r="D25" s="19" t="s">
        <v>248</v>
      </c>
      <c r="E25" s="19" t="s">
        <v>245</v>
      </c>
      <c r="F25">
        <v>24</v>
      </c>
      <c r="G25">
        <v>24</v>
      </c>
      <c r="H25">
        <v>16</v>
      </c>
      <c r="I25" s="31" t="s">
        <v>86</v>
      </c>
      <c r="J25" s="79" t="s">
        <v>25</v>
      </c>
      <c r="K25" s="82">
        <v>690.65116229999956</v>
      </c>
      <c r="L25" s="82">
        <v>648.64876569999979</v>
      </c>
      <c r="M25" s="82">
        <v>824.01467549999995</v>
      </c>
      <c r="N25" s="82">
        <v>448.47298929999999</v>
      </c>
      <c r="O25" s="82">
        <v>267.11207510000003</v>
      </c>
      <c r="P25" s="82">
        <v>470.57836609999998</v>
      </c>
      <c r="Q25" s="82">
        <v>257.24639669999999</v>
      </c>
      <c r="R25" s="82">
        <v>294.4599753600001</v>
      </c>
      <c r="S25" s="82">
        <v>210.77322269000004</v>
      </c>
      <c r="T25" s="81">
        <v>421.94013255999977</v>
      </c>
      <c r="U25" s="81">
        <v>334.23402740000006</v>
      </c>
      <c r="V25" s="83">
        <v>207.80977447000001</v>
      </c>
      <c r="W25" s="83">
        <v>185.15219847999998</v>
      </c>
      <c r="X25" s="83">
        <v>361.61755652999983</v>
      </c>
    </row>
    <row r="26" spans="4:24" ht="27.75" x14ac:dyDescent="0.65">
      <c r="D26" s="19" t="s">
        <v>248</v>
      </c>
      <c r="E26" s="19" t="s">
        <v>245</v>
      </c>
      <c r="F26">
        <v>25</v>
      </c>
      <c r="G26">
        <v>25</v>
      </c>
      <c r="H26">
        <v>16</v>
      </c>
      <c r="I26" s="31" t="s">
        <v>221</v>
      </c>
      <c r="J26" s="79" t="s">
        <v>25</v>
      </c>
      <c r="K26" s="82">
        <v>56.613914799999996</v>
      </c>
      <c r="L26" s="82">
        <v>124.70539190000001</v>
      </c>
      <c r="M26" s="82">
        <v>96.562451500000009</v>
      </c>
      <c r="N26" s="82">
        <v>57.706111299999982</v>
      </c>
      <c r="O26" s="82">
        <v>47.300229800000004</v>
      </c>
      <c r="P26" s="82">
        <v>33.302676700000006</v>
      </c>
      <c r="Q26" s="82">
        <v>34.279320299999995</v>
      </c>
      <c r="R26" s="82">
        <v>67.590202960000013</v>
      </c>
      <c r="S26" s="82">
        <v>125.07245069000001</v>
      </c>
      <c r="T26" s="81">
        <v>77.777960660000019</v>
      </c>
      <c r="U26" s="81">
        <v>51.918835730000012</v>
      </c>
      <c r="V26" s="83">
        <v>125.47940586</v>
      </c>
      <c r="W26" s="83">
        <v>178.96335403</v>
      </c>
      <c r="X26" s="83">
        <v>198.66692248999996</v>
      </c>
    </row>
    <row r="27" spans="4:24" ht="27.75" x14ac:dyDescent="0.65">
      <c r="D27" s="19" t="s">
        <v>248</v>
      </c>
      <c r="E27" s="19" t="s">
        <v>245</v>
      </c>
      <c r="F27">
        <v>26</v>
      </c>
      <c r="G27">
        <v>26</v>
      </c>
      <c r="H27">
        <v>16</v>
      </c>
      <c r="I27" s="31" t="s">
        <v>87</v>
      </c>
      <c r="J27" s="79" t="s">
        <v>25</v>
      </c>
      <c r="K27" s="82">
        <v>18.879154800000002</v>
      </c>
      <c r="L27" s="82">
        <v>129.9717254</v>
      </c>
      <c r="M27" s="82">
        <v>34.322845600000001</v>
      </c>
      <c r="N27" s="82">
        <v>35.143991299999996</v>
      </c>
      <c r="O27" s="82">
        <v>15.443652299999995</v>
      </c>
      <c r="P27" s="82">
        <v>150.89350579999999</v>
      </c>
      <c r="Q27" s="82">
        <v>10.622684099999999</v>
      </c>
      <c r="R27" s="82">
        <v>7.7414829700000007</v>
      </c>
      <c r="S27" s="82">
        <v>15.61816898</v>
      </c>
      <c r="T27" s="81">
        <v>18.744568969999996</v>
      </c>
      <c r="U27" s="81">
        <v>17.714323480000004</v>
      </c>
      <c r="V27" s="83">
        <v>18.868709750000001</v>
      </c>
      <c r="W27" s="83">
        <v>91.199357329999998</v>
      </c>
      <c r="X27" s="83">
        <v>45.907351989999995</v>
      </c>
    </row>
    <row r="28" spans="4:24" ht="27.75" x14ac:dyDescent="0.65">
      <c r="D28" s="19" t="s">
        <v>248</v>
      </c>
      <c r="E28" s="19" t="s">
        <v>245</v>
      </c>
      <c r="F28">
        <v>27</v>
      </c>
      <c r="G28">
        <v>27</v>
      </c>
      <c r="H28">
        <v>16</v>
      </c>
      <c r="I28" s="31" t="s">
        <v>222</v>
      </c>
      <c r="J28" s="79" t="s">
        <v>25</v>
      </c>
      <c r="K28" s="82">
        <v>1.2850036</v>
      </c>
      <c r="L28" s="82">
        <v>24.798450299999995</v>
      </c>
      <c r="M28" s="82">
        <v>6.4681020999999994</v>
      </c>
      <c r="N28" s="82">
        <v>16.1222329</v>
      </c>
      <c r="O28" s="82">
        <v>21.140727699999999</v>
      </c>
      <c r="P28" s="82">
        <v>4.4742090999999995</v>
      </c>
      <c r="Q28" s="82">
        <v>11.795030499999999</v>
      </c>
      <c r="R28" s="82">
        <v>6.1862729999999999</v>
      </c>
      <c r="S28" s="82">
        <v>12.137322639999999</v>
      </c>
      <c r="T28" s="81">
        <v>4.7143344700000007</v>
      </c>
      <c r="U28" s="81">
        <v>3.6436628999999994</v>
      </c>
      <c r="V28" s="83">
        <v>11.524725500000001</v>
      </c>
      <c r="W28" s="83">
        <v>5.5282201399999993</v>
      </c>
      <c r="X28" s="83">
        <v>29.259134770000003</v>
      </c>
    </row>
    <row r="29" spans="4:24" ht="27.75" x14ac:dyDescent="0.65">
      <c r="D29" s="19" t="s">
        <v>248</v>
      </c>
      <c r="E29" s="19" t="s">
        <v>245</v>
      </c>
      <c r="F29">
        <v>28</v>
      </c>
      <c r="G29">
        <v>28</v>
      </c>
      <c r="H29">
        <v>16</v>
      </c>
      <c r="I29" s="31" t="s">
        <v>89</v>
      </c>
      <c r="J29" s="79" t="s">
        <v>25</v>
      </c>
      <c r="K29" s="82">
        <v>238.64696980000019</v>
      </c>
      <c r="L29" s="82">
        <v>599.0265382000008</v>
      </c>
      <c r="M29" s="82">
        <v>1059.1778273999996</v>
      </c>
      <c r="N29" s="82">
        <v>1084.7375562000007</v>
      </c>
      <c r="O29" s="82">
        <v>832.92541990000154</v>
      </c>
      <c r="P29" s="82">
        <v>344.30688279999731</v>
      </c>
      <c r="Q29" s="82">
        <v>351.87401180000114</v>
      </c>
      <c r="R29" s="82">
        <v>493.44075104999922</v>
      </c>
      <c r="S29" s="82">
        <v>507.49563265999984</v>
      </c>
      <c r="T29" s="81">
        <v>391.67394721999739</v>
      </c>
      <c r="U29" s="81">
        <v>360.3341018500023</v>
      </c>
      <c r="V29" s="83">
        <v>578.91172539000002</v>
      </c>
      <c r="W29" s="83">
        <v>921.8955566599999</v>
      </c>
      <c r="X29" s="83">
        <v>399.95690117000578</v>
      </c>
    </row>
    <row r="30" spans="4:24" ht="27.75" x14ac:dyDescent="0.65">
      <c r="D30" s="19" t="s">
        <v>248</v>
      </c>
      <c r="E30" s="19" t="s">
        <v>245</v>
      </c>
      <c r="F30">
        <v>29</v>
      </c>
      <c r="G30">
        <v>29</v>
      </c>
      <c r="H30">
        <v>1</v>
      </c>
      <c r="I30" s="31" t="s">
        <v>90</v>
      </c>
      <c r="J30" s="79" t="s">
        <v>25</v>
      </c>
      <c r="K30" s="82">
        <v>15391.635809800004</v>
      </c>
      <c r="L30" s="82">
        <v>16907.64573779998</v>
      </c>
      <c r="M30" s="82">
        <v>18593.281675499966</v>
      </c>
      <c r="N30" s="82">
        <v>17936.293296300009</v>
      </c>
      <c r="O30" s="82">
        <v>11104.6180138</v>
      </c>
      <c r="P30" s="82">
        <v>9061.0850145999939</v>
      </c>
      <c r="Q30" s="82">
        <v>12705.966047700012</v>
      </c>
      <c r="R30" s="82">
        <v>16798.98327828999</v>
      </c>
      <c r="S30" s="82">
        <v>16382.402260679994</v>
      </c>
      <c r="T30" s="81">
        <v>15056.652441810002</v>
      </c>
      <c r="U30" s="81">
        <v>19998.631104059994</v>
      </c>
      <c r="V30" s="83">
        <v>34145.862153440001</v>
      </c>
      <c r="W30" s="83">
        <v>32646.072575349997</v>
      </c>
      <c r="X30" s="83">
        <v>33764.221517399994</v>
      </c>
    </row>
    <row r="31" spans="4:24" ht="27.75" x14ac:dyDescent="0.65">
      <c r="D31" s="19" t="s">
        <v>248</v>
      </c>
      <c r="E31" s="19" t="s">
        <v>245</v>
      </c>
      <c r="F31">
        <v>30</v>
      </c>
      <c r="G31">
        <v>30</v>
      </c>
      <c r="H31">
        <v>29</v>
      </c>
      <c r="I31" s="31" t="s">
        <v>239</v>
      </c>
      <c r="J31" s="79" t="s">
        <v>25</v>
      </c>
      <c r="K31" s="82">
        <v>14863.397754200001</v>
      </c>
      <c r="L31" s="82">
        <v>16517.461568599974</v>
      </c>
      <c r="M31" s="82">
        <v>18088.98677999997</v>
      </c>
      <c r="N31" s="82">
        <v>17564.261555600013</v>
      </c>
      <c r="O31" s="82">
        <v>10766.738228499997</v>
      </c>
      <c r="P31" s="82">
        <v>8792.7369756999942</v>
      </c>
      <c r="Q31" s="82">
        <v>12199.970810200015</v>
      </c>
      <c r="R31" s="82">
        <v>16329.368830919993</v>
      </c>
      <c r="S31" s="82">
        <v>15815.284153119994</v>
      </c>
      <c r="T31" s="81">
        <v>14536.355385870002</v>
      </c>
      <c r="U31" s="81">
        <v>19240.746917939992</v>
      </c>
      <c r="V31" s="83">
        <v>33407.95087375</v>
      </c>
      <c r="W31" s="83">
        <v>31874.097238499999</v>
      </c>
      <c r="X31" s="83">
        <v>33224.045148459998</v>
      </c>
    </row>
    <row r="32" spans="4:24" ht="27.75" x14ac:dyDescent="0.65">
      <c r="D32" s="19" t="s">
        <v>248</v>
      </c>
      <c r="E32" s="19" t="s">
        <v>245</v>
      </c>
      <c r="F32">
        <v>31</v>
      </c>
      <c r="G32">
        <v>31</v>
      </c>
      <c r="H32">
        <v>29</v>
      </c>
      <c r="I32" s="31" t="s">
        <v>240</v>
      </c>
      <c r="J32" s="79" t="s">
        <v>25</v>
      </c>
      <c r="K32" s="82">
        <v>251.41504410000005</v>
      </c>
      <c r="L32" s="82">
        <v>307.92143069999992</v>
      </c>
      <c r="M32" s="82">
        <v>425.8153870999999</v>
      </c>
      <c r="N32" s="82">
        <v>313.56603599999971</v>
      </c>
      <c r="O32" s="82">
        <v>291.38825650000018</v>
      </c>
      <c r="P32" s="82">
        <v>214.70634330000004</v>
      </c>
      <c r="Q32" s="82">
        <v>433.46879309999974</v>
      </c>
      <c r="R32" s="82">
        <v>378.71329865000007</v>
      </c>
      <c r="S32" s="82">
        <v>462.1007633399999</v>
      </c>
      <c r="T32" s="81">
        <v>397.32068954999988</v>
      </c>
      <c r="U32" s="81">
        <v>622.31564881999998</v>
      </c>
      <c r="V32" s="83">
        <v>559.83989749</v>
      </c>
      <c r="W32" s="83">
        <v>526.04756295999994</v>
      </c>
      <c r="X32" s="83">
        <v>411.11034179000006</v>
      </c>
    </row>
    <row r="33" spans="4:24" ht="27.75" x14ac:dyDescent="0.65">
      <c r="D33" s="19" t="s">
        <v>248</v>
      </c>
      <c r="E33" s="19" t="s">
        <v>245</v>
      </c>
      <c r="F33">
        <v>32</v>
      </c>
      <c r="G33">
        <v>32</v>
      </c>
      <c r="H33">
        <v>29</v>
      </c>
      <c r="I33" s="31" t="s">
        <v>91</v>
      </c>
      <c r="J33" s="79" t="s">
        <v>25</v>
      </c>
      <c r="K33" s="82">
        <v>5.2737893999999992</v>
      </c>
      <c r="L33" s="82">
        <v>8.4215894999999996</v>
      </c>
      <c r="M33" s="82">
        <v>14.529278700000003</v>
      </c>
      <c r="N33" s="82">
        <v>8.547370299999999</v>
      </c>
      <c r="O33" s="82">
        <v>9.8536752000000032</v>
      </c>
      <c r="P33" s="82">
        <v>10.214471099999999</v>
      </c>
      <c r="Q33" s="82">
        <v>10.942234300000001</v>
      </c>
      <c r="R33" s="82">
        <v>15.20716148</v>
      </c>
      <c r="S33" s="82">
        <v>19.489599120000001</v>
      </c>
      <c r="T33" s="81">
        <v>69.591707119999995</v>
      </c>
      <c r="U33" s="81">
        <v>16.10662628</v>
      </c>
      <c r="V33" s="83">
        <v>37.699267329999998</v>
      </c>
      <c r="W33" s="83">
        <v>19.296848219999998</v>
      </c>
      <c r="X33" s="83">
        <v>9.4610978499999998</v>
      </c>
    </row>
    <row r="34" spans="4:24" ht="27.75" x14ac:dyDescent="0.65">
      <c r="D34" s="19" t="s">
        <v>248</v>
      </c>
      <c r="E34" s="19" t="s">
        <v>245</v>
      </c>
      <c r="F34">
        <v>33</v>
      </c>
      <c r="G34">
        <v>33</v>
      </c>
      <c r="H34">
        <v>29</v>
      </c>
      <c r="I34" s="31" t="s">
        <v>170</v>
      </c>
      <c r="J34" s="79" t="s">
        <v>25</v>
      </c>
      <c r="K34" s="82">
        <v>271.54922210000228</v>
      </c>
      <c r="L34" s="82">
        <v>73.841149000001906</v>
      </c>
      <c r="M34" s="82">
        <v>63.950229699996946</v>
      </c>
      <c r="N34" s="82">
        <v>49.918334399997711</v>
      </c>
      <c r="O34" s="82">
        <v>36.637853600002288</v>
      </c>
      <c r="P34" s="82">
        <v>43.427224500000001</v>
      </c>
      <c r="Q34" s="82">
        <v>61.584210099998472</v>
      </c>
      <c r="R34" s="82">
        <v>75.693987239999771</v>
      </c>
      <c r="S34" s="82">
        <v>85.527745099998469</v>
      </c>
      <c r="T34" s="81">
        <v>53.384659270000455</v>
      </c>
      <c r="U34" s="81">
        <v>119.46191102000427</v>
      </c>
      <c r="V34" s="83">
        <v>140.37211487000002</v>
      </c>
      <c r="W34" s="83">
        <v>226.63092567000001</v>
      </c>
      <c r="X34" s="83">
        <v>119.60492929999924</v>
      </c>
    </row>
    <row r="35" spans="4:24" ht="27.75" x14ac:dyDescent="0.65">
      <c r="D35" s="19" t="s">
        <v>248</v>
      </c>
      <c r="E35" s="19" t="s">
        <v>245</v>
      </c>
      <c r="F35">
        <v>34</v>
      </c>
      <c r="G35">
        <v>34</v>
      </c>
      <c r="H35">
        <v>1</v>
      </c>
      <c r="I35" s="31" t="s">
        <v>92</v>
      </c>
      <c r="J35" s="79" t="s">
        <v>25</v>
      </c>
      <c r="K35" s="82">
        <v>25013.469034299989</v>
      </c>
      <c r="L35" s="82">
        <v>35934.229620699974</v>
      </c>
      <c r="M35" s="82">
        <v>34740.119255500009</v>
      </c>
      <c r="N35" s="82">
        <v>36540.481440200005</v>
      </c>
      <c r="O35" s="82">
        <v>27981.284454499979</v>
      </c>
      <c r="P35" s="82">
        <v>28921.944330101003</v>
      </c>
      <c r="Q35" s="82">
        <v>42337.787235100011</v>
      </c>
      <c r="R35" s="82">
        <v>57363.12776166002</v>
      </c>
      <c r="S35" s="82">
        <v>52936.075865500003</v>
      </c>
      <c r="T35" s="84">
        <v>50827.763110729982</v>
      </c>
      <c r="U35" s="84">
        <v>57515.03676902</v>
      </c>
      <c r="V35" s="85">
        <v>73971.565804989979</v>
      </c>
      <c r="W35" s="85">
        <v>72629.89615838998</v>
      </c>
      <c r="X35" s="85">
        <v>75517.436593800012</v>
      </c>
    </row>
    <row r="36" spans="4:24" ht="27.75" x14ac:dyDescent="0.65">
      <c r="D36" s="19" t="s">
        <v>248</v>
      </c>
      <c r="E36" s="19" t="s">
        <v>245</v>
      </c>
      <c r="F36">
        <v>35</v>
      </c>
      <c r="G36">
        <v>35</v>
      </c>
      <c r="H36">
        <v>34</v>
      </c>
      <c r="I36" s="31" t="s">
        <v>237</v>
      </c>
      <c r="J36" s="79" t="s">
        <v>25</v>
      </c>
      <c r="K36" s="82">
        <v>21335.163375799988</v>
      </c>
      <c r="L36" s="82">
        <v>32648.726711099982</v>
      </c>
      <c r="M36" s="82">
        <v>30395.384969300016</v>
      </c>
      <c r="N36" s="82">
        <v>31906.819669400007</v>
      </c>
      <c r="O36" s="82">
        <v>21765.833597099976</v>
      </c>
      <c r="P36" s="82">
        <v>24553.477827501003</v>
      </c>
      <c r="Q36" s="82">
        <v>33681.381751100023</v>
      </c>
      <c r="R36" s="82">
        <v>42020.775162260026</v>
      </c>
      <c r="S36" s="82">
        <v>41427.938937359999</v>
      </c>
      <c r="T36" s="84">
        <v>40106.111248769987</v>
      </c>
      <c r="U36" s="84">
        <v>48090.470784730001</v>
      </c>
      <c r="V36" s="85">
        <v>64347.333326630003</v>
      </c>
      <c r="W36" s="85">
        <v>63139.981550429999</v>
      </c>
      <c r="X36" s="85">
        <v>68221.977154460037</v>
      </c>
    </row>
    <row r="37" spans="4:24" ht="27.75" x14ac:dyDescent="0.65">
      <c r="D37" s="19" t="s">
        <v>248</v>
      </c>
      <c r="E37" s="19" t="s">
        <v>245</v>
      </c>
      <c r="F37">
        <v>36</v>
      </c>
      <c r="G37">
        <v>36</v>
      </c>
      <c r="H37">
        <v>35</v>
      </c>
      <c r="I37" s="31" t="s">
        <v>64</v>
      </c>
      <c r="J37" s="79" t="s">
        <v>25</v>
      </c>
      <c r="K37" s="82">
        <v>2729.3128568999914</v>
      </c>
      <c r="L37" s="82">
        <v>3152.9508963999947</v>
      </c>
      <c r="M37" s="82">
        <v>4375.8704085999952</v>
      </c>
      <c r="N37" s="82">
        <v>5570.9527763999986</v>
      </c>
      <c r="O37" s="82">
        <v>4564.165847399996</v>
      </c>
      <c r="P37" s="82">
        <v>3094.6870777090071</v>
      </c>
      <c r="Q37" s="82">
        <v>6358.2840705000008</v>
      </c>
      <c r="R37" s="82">
        <v>13134.664486460009</v>
      </c>
      <c r="S37" s="82">
        <v>14452.855888020002</v>
      </c>
      <c r="T37" s="84">
        <v>14866.757240430006</v>
      </c>
      <c r="U37" s="84">
        <v>20514.423040650014</v>
      </c>
      <c r="V37" s="85">
        <v>29378.727376750001</v>
      </c>
      <c r="W37" s="85">
        <v>23602.86113342</v>
      </c>
      <c r="X37" s="85">
        <v>24342.314904280011</v>
      </c>
    </row>
    <row r="38" spans="4:24" ht="27.75" x14ac:dyDescent="0.65">
      <c r="D38" s="19" t="s">
        <v>248</v>
      </c>
      <c r="E38" s="19" t="s">
        <v>245</v>
      </c>
      <c r="F38">
        <v>37</v>
      </c>
      <c r="G38">
        <v>37</v>
      </c>
      <c r="H38">
        <v>35</v>
      </c>
      <c r="I38" s="31" t="s">
        <v>65</v>
      </c>
      <c r="J38" s="79" t="s">
        <v>25</v>
      </c>
      <c r="K38" s="82">
        <v>7025.5613718000031</v>
      </c>
      <c r="L38" s="82">
        <v>10846.512059400009</v>
      </c>
      <c r="M38" s="82">
        <v>10886.258008100016</v>
      </c>
      <c r="N38" s="82">
        <v>10540.074750099999</v>
      </c>
      <c r="O38" s="82">
        <v>5181.357588799985</v>
      </c>
      <c r="P38" s="82">
        <v>5193.0812986919937</v>
      </c>
      <c r="Q38" s="82">
        <v>6365.92568940001</v>
      </c>
      <c r="R38" s="82">
        <v>6251.3478214800052</v>
      </c>
      <c r="S38" s="82">
        <v>9000.2922245700047</v>
      </c>
      <c r="T38" s="84">
        <v>8662.1452076499954</v>
      </c>
      <c r="U38" s="84">
        <v>10186.121901539997</v>
      </c>
      <c r="V38" s="85">
        <v>12133.39923067</v>
      </c>
      <c r="W38" s="85">
        <v>11950.838196530001</v>
      </c>
      <c r="X38" s="85">
        <v>11284.898772470007</v>
      </c>
    </row>
    <row r="39" spans="4:24" ht="27.75" x14ac:dyDescent="0.65">
      <c r="D39" s="19" t="s">
        <v>248</v>
      </c>
      <c r="E39" s="19" t="s">
        <v>245</v>
      </c>
      <c r="F39">
        <v>38</v>
      </c>
      <c r="G39">
        <v>38</v>
      </c>
      <c r="H39">
        <v>35</v>
      </c>
      <c r="I39" s="31" t="s">
        <v>70</v>
      </c>
      <c r="J39" s="79" t="s">
        <v>25</v>
      </c>
      <c r="K39" s="82">
        <v>6376.482531699995</v>
      </c>
      <c r="L39" s="82">
        <v>10087.969069299983</v>
      </c>
      <c r="M39" s="82">
        <v>8339.9299114000005</v>
      </c>
      <c r="N39" s="82">
        <v>6926.776072600007</v>
      </c>
      <c r="O39" s="82">
        <v>7435.0856694000004</v>
      </c>
      <c r="P39" s="82">
        <v>6516.9428258999933</v>
      </c>
      <c r="Q39" s="82">
        <v>7999.6077078999951</v>
      </c>
      <c r="R39" s="82">
        <v>12072.092504480001</v>
      </c>
      <c r="S39" s="82">
        <v>9569.3085368999982</v>
      </c>
      <c r="T39" s="84">
        <v>7078.9623802199949</v>
      </c>
      <c r="U39" s="84">
        <v>9383.910816869995</v>
      </c>
      <c r="V39" s="85">
        <v>9091.9189217700005</v>
      </c>
      <c r="W39" s="85">
        <v>18694.707724509997</v>
      </c>
      <c r="X39" s="85">
        <v>18661.875179100018</v>
      </c>
    </row>
    <row r="40" spans="4:24" ht="27.75" x14ac:dyDescent="0.65">
      <c r="D40" s="19" t="s">
        <v>248</v>
      </c>
      <c r="E40" s="19" t="s">
        <v>245</v>
      </c>
      <c r="F40">
        <v>39</v>
      </c>
      <c r="G40">
        <v>39</v>
      </c>
      <c r="H40">
        <v>35</v>
      </c>
      <c r="I40" s="31" t="s">
        <v>238</v>
      </c>
      <c r="J40" s="79" t="s">
        <v>25</v>
      </c>
      <c r="K40" s="82">
        <v>1427.0604923999997</v>
      </c>
      <c r="L40" s="82">
        <v>2034.1746291999973</v>
      </c>
      <c r="M40" s="82">
        <v>1054.6032608000012</v>
      </c>
      <c r="N40" s="82">
        <v>2115.5592162000012</v>
      </c>
      <c r="O40" s="82">
        <v>1771.1403046999988</v>
      </c>
      <c r="P40" s="82">
        <v>5433.1450053000044</v>
      </c>
      <c r="Q40" s="82">
        <v>8378.0823675000192</v>
      </c>
      <c r="R40" s="82">
        <v>6718.7630644800038</v>
      </c>
      <c r="S40" s="82">
        <v>3914.0435258899997</v>
      </c>
      <c r="T40" s="84">
        <v>4133.7194298999984</v>
      </c>
      <c r="U40" s="84">
        <v>3120.9046583100017</v>
      </c>
      <c r="V40" s="85">
        <v>6766.7575484099998</v>
      </c>
      <c r="W40" s="85">
        <v>2556.8791456100003</v>
      </c>
      <c r="X40" s="85">
        <v>2785.9847056100016</v>
      </c>
    </row>
    <row r="41" spans="4:24" ht="27.75" x14ac:dyDescent="0.65">
      <c r="D41" s="19" t="s">
        <v>248</v>
      </c>
      <c r="E41" s="19" t="s">
        <v>245</v>
      </c>
      <c r="F41">
        <v>40</v>
      </c>
      <c r="G41">
        <v>40</v>
      </c>
      <c r="H41">
        <v>35</v>
      </c>
      <c r="I41" s="31" t="s">
        <v>62</v>
      </c>
      <c r="J41" s="79" t="s">
        <v>25</v>
      </c>
      <c r="K41" s="82">
        <v>2313.3658194</v>
      </c>
      <c r="L41" s="82">
        <v>3181.0732864999973</v>
      </c>
      <c r="M41" s="82">
        <v>2376.0717850000015</v>
      </c>
      <c r="N41" s="82">
        <v>1542.3080550999998</v>
      </c>
      <c r="O41" s="82">
        <v>1081.8132354999984</v>
      </c>
      <c r="P41" s="82">
        <v>1685.3189304999994</v>
      </c>
      <c r="Q41" s="82">
        <v>1297.8148957999992</v>
      </c>
      <c r="R41" s="82">
        <v>1570.8742384800014</v>
      </c>
      <c r="S41" s="82">
        <v>1199.3523353600006</v>
      </c>
      <c r="T41" s="84">
        <v>1491.2270879499979</v>
      </c>
      <c r="U41" s="84">
        <v>1591.1938487099962</v>
      </c>
      <c r="V41" s="85">
        <v>2767.06753149</v>
      </c>
      <c r="W41" s="85">
        <v>3340.83548462</v>
      </c>
      <c r="X41" s="85">
        <v>3604.1472312599972</v>
      </c>
    </row>
    <row r="42" spans="4:24" ht="27.75" x14ac:dyDescent="0.65">
      <c r="D42" s="19" t="s">
        <v>248</v>
      </c>
      <c r="E42" s="19" t="s">
        <v>245</v>
      </c>
      <c r="F42">
        <v>41</v>
      </c>
      <c r="G42">
        <v>41</v>
      </c>
      <c r="H42">
        <v>35</v>
      </c>
      <c r="I42" s="31" t="s">
        <v>63</v>
      </c>
      <c r="J42" s="79" t="s">
        <v>25</v>
      </c>
      <c r="K42" s="82">
        <v>343.04626509999991</v>
      </c>
      <c r="L42" s="82">
        <v>108.01991679999999</v>
      </c>
      <c r="M42" s="82">
        <v>315.22107699999998</v>
      </c>
      <c r="N42" s="82">
        <v>163.08312679999995</v>
      </c>
      <c r="O42" s="82">
        <v>288.27635279999998</v>
      </c>
      <c r="P42" s="82">
        <v>192.15226170000003</v>
      </c>
      <c r="Q42" s="82">
        <v>298.02771900000005</v>
      </c>
      <c r="R42" s="82">
        <v>478.43420648000006</v>
      </c>
      <c r="S42" s="82">
        <v>287.73384927000001</v>
      </c>
      <c r="T42" s="84">
        <v>366.10528647999996</v>
      </c>
      <c r="U42" s="84">
        <v>363.09206938999995</v>
      </c>
      <c r="V42" s="85">
        <v>1300.3643416</v>
      </c>
      <c r="W42" s="85">
        <v>107.8133682</v>
      </c>
      <c r="X42" s="85">
        <v>261.03654764000004</v>
      </c>
    </row>
    <row r="43" spans="4:24" ht="27.75" x14ac:dyDescent="0.65">
      <c r="D43" s="19" t="s">
        <v>248</v>
      </c>
      <c r="E43" s="19" t="s">
        <v>245</v>
      </c>
      <c r="F43">
        <v>42</v>
      </c>
      <c r="G43">
        <v>42</v>
      </c>
      <c r="H43">
        <v>35</v>
      </c>
      <c r="I43" s="31" t="s">
        <v>95</v>
      </c>
      <c r="J43" s="79" t="s">
        <v>25</v>
      </c>
      <c r="K43" s="82">
        <v>126.37160560000001</v>
      </c>
      <c r="L43" s="82">
        <v>373.2887806</v>
      </c>
      <c r="M43" s="82">
        <v>341.5060486000001</v>
      </c>
      <c r="N43" s="82">
        <v>375.86321529999998</v>
      </c>
      <c r="O43" s="82">
        <v>273.71223900000007</v>
      </c>
      <c r="P43" s="82">
        <v>251.71634499999999</v>
      </c>
      <c r="Q43" s="82">
        <v>444.2440299999999</v>
      </c>
      <c r="R43" s="82">
        <v>462.43184917999997</v>
      </c>
      <c r="S43" s="82">
        <v>726.41467821000003</v>
      </c>
      <c r="T43" s="84">
        <v>694.48388684999998</v>
      </c>
      <c r="U43" s="84">
        <v>415.80366675999989</v>
      </c>
      <c r="V43" s="85">
        <v>1307.1642129300001</v>
      </c>
      <c r="W43" s="85">
        <v>1572.97695978</v>
      </c>
      <c r="X43" s="85">
        <v>1570.6972245399998</v>
      </c>
    </row>
    <row r="44" spans="4:24" ht="27.75" x14ac:dyDescent="0.65">
      <c r="D44" s="19" t="s">
        <v>248</v>
      </c>
      <c r="E44" s="19" t="s">
        <v>245</v>
      </c>
      <c r="F44">
        <v>43</v>
      </c>
      <c r="G44">
        <v>43</v>
      </c>
      <c r="H44">
        <v>35</v>
      </c>
      <c r="I44" s="31" t="s">
        <v>191</v>
      </c>
      <c r="J44" s="79" t="s">
        <v>25</v>
      </c>
      <c r="K44" s="82">
        <v>185.29861030000004</v>
      </c>
      <c r="L44" s="82">
        <v>216.32706529999999</v>
      </c>
      <c r="M44" s="82">
        <v>118.87667259999998</v>
      </c>
      <c r="N44" s="82">
        <v>220.7894043</v>
      </c>
      <c r="O44" s="82">
        <v>114.8232953</v>
      </c>
      <c r="P44" s="82">
        <v>229.16554360000001</v>
      </c>
      <c r="Q44" s="82">
        <v>183.28061759999997</v>
      </c>
      <c r="R44" s="82">
        <v>212.51691889</v>
      </c>
      <c r="S44" s="82">
        <v>221.32421173000003</v>
      </c>
      <c r="T44" s="84">
        <v>284.84158554999999</v>
      </c>
      <c r="U44" s="84">
        <v>187.90677024000001</v>
      </c>
      <c r="V44" s="85">
        <v>672.55128351999997</v>
      </c>
      <c r="W44" s="85">
        <v>56.351677309999999</v>
      </c>
      <c r="X44" s="85">
        <v>258.57710709999998</v>
      </c>
    </row>
    <row r="45" spans="4:24" ht="27.75" x14ac:dyDescent="0.65">
      <c r="D45" s="19" t="s">
        <v>248</v>
      </c>
      <c r="E45" s="19" t="s">
        <v>245</v>
      </c>
      <c r="F45">
        <v>44</v>
      </c>
      <c r="G45">
        <v>44</v>
      </c>
      <c r="H45">
        <v>35</v>
      </c>
      <c r="I45" s="31" t="s">
        <v>94</v>
      </c>
      <c r="J45" s="79" t="s">
        <v>25</v>
      </c>
      <c r="K45" s="82">
        <v>298.97543850000017</v>
      </c>
      <c r="L45" s="82">
        <v>611.73229119999985</v>
      </c>
      <c r="M45" s="82">
        <v>518.09574020000002</v>
      </c>
      <c r="N45" s="82">
        <v>871.38271759999998</v>
      </c>
      <c r="O45" s="82">
        <v>541.17969019999953</v>
      </c>
      <c r="P45" s="82">
        <v>530.63100850000001</v>
      </c>
      <c r="Q45" s="82">
        <v>543.96238970000013</v>
      </c>
      <c r="R45" s="82">
        <v>558.66423924999992</v>
      </c>
      <c r="S45" s="82">
        <v>416.40085710000011</v>
      </c>
      <c r="T45" s="84">
        <v>310.16492383999991</v>
      </c>
      <c r="U45" s="84">
        <v>453.42908395999984</v>
      </c>
      <c r="V45" s="85">
        <v>491.01168832000002</v>
      </c>
      <c r="W45" s="85">
        <v>960.35537753999995</v>
      </c>
      <c r="X45" s="85">
        <v>903.20145277999939</v>
      </c>
    </row>
    <row r="46" spans="4:24" ht="27.75" x14ac:dyDescent="0.65">
      <c r="D46" s="19" t="s">
        <v>248</v>
      </c>
      <c r="E46" s="19" t="s">
        <v>245</v>
      </c>
      <c r="F46">
        <v>45</v>
      </c>
      <c r="G46">
        <v>45</v>
      </c>
      <c r="H46">
        <v>35</v>
      </c>
      <c r="I46" s="31" t="s">
        <v>76</v>
      </c>
      <c r="J46" s="79" t="s">
        <v>25</v>
      </c>
      <c r="K46" s="82">
        <v>222.36892</v>
      </c>
      <c r="L46" s="82">
        <v>861.22358619999977</v>
      </c>
      <c r="M46" s="82">
        <v>565.34273960000007</v>
      </c>
      <c r="N46" s="82">
        <v>220.37985740000011</v>
      </c>
      <c r="O46" s="82">
        <v>142.44467860000006</v>
      </c>
      <c r="P46" s="82">
        <v>88.975065499999999</v>
      </c>
      <c r="Q46" s="82">
        <v>107.03889959999998</v>
      </c>
      <c r="R46" s="82">
        <v>268.23311311999998</v>
      </c>
      <c r="S46" s="82">
        <v>195.21788140999996</v>
      </c>
      <c r="T46" s="84">
        <v>262.92923943999995</v>
      </c>
      <c r="U46" s="84">
        <v>207.00818372999998</v>
      </c>
      <c r="V46" s="85">
        <v>244.21292437</v>
      </c>
      <c r="W46" s="85">
        <v>226.30259866</v>
      </c>
      <c r="X46" s="85">
        <v>260.89795130999994</v>
      </c>
    </row>
    <row r="47" spans="4:24" ht="27.75" x14ac:dyDescent="0.65">
      <c r="D47" s="19" t="s">
        <v>248</v>
      </c>
      <c r="E47" s="19" t="s">
        <v>245</v>
      </c>
      <c r="F47">
        <v>46</v>
      </c>
      <c r="G47">
        <v>46</v>
      </c>
      <c r="H47">
        <v>35</v>
      </c>
      <c r="I47" s="31" t="s">
        <v>196</v>
      </c>
      <c r="J47" s="79" t="s">
        <v>25</v>
      </c>
      <c r="K47" s="82">
        <v>182.77497319999998</v>
      </c>
      <c r="L47" s="82">
        <v>419.16430400000002</v>
      </c>
      <c r="M47" s="82">
        <v>162.30782539999996</v>
      </c>
      <c r="N47" s="82">
        <v>148.68766419999997</v>
      </c>
      <c r="O47" s="82">
        <v>26.351839899999998</v>
      </c>
      <c r="P47" s="82">
        <v>658.32785660000025</v>
      </c>
      <c r="Q47" s="82">
        <v>1240.9313121999999</v>
      </c>
      <c r="R47" s="82">
        <v>103.77733371999999</v>
      </c>
      <c r="S47" s="82">
        <v>269.43825182</v>
      </c>
      <c r="T47" s="84">
        <v>580.02280682999992</v>
      </c>
      <c r="U47" s="84">
        <v>75.527883560000006</v>
      </c>
      <c r="V47" s="85">
        <v>194.15826680000001</v>
      </c>
      <c r="W47" s="85">
        <v>70.059884249999996</v>
      </c>
      <c r="X47" s="85">
        <v>471.48362200999998</v>
      </c>
    </row>
    <row r="48" spans="4:24" ht="27.75" x14ac:dyDescent="0.65">
      <c r="D48" s="19" t="s">
        <v>248</v>
      </c>
      <c r="E48" s="19" t="s">
        <v>245</v>
      </c>
      <c r="F48">
        <v>47</v>
      </c>
      <c r="G48">
        <v>47</v>
      </c>
      <c r="H48">
        <v>35</v>
      </c>
      <c r="I48" s="31" t="s">
        <v>197</v>
      </c>
      <c r="J48" s="79" t="s">
        <v>25</v>
      </c>
      <c r="K48" s="82">
        <v>104.54449090000152</v>
      </c>
      <c r="L48" s="82">
        <v>756.29082620000838</v>
      </c>
      <c r="M48" s="82">
        <v>1341.3014920000001</v>
      </c>
      <c r="N48" s="82">
        <v>3210.9628134000054</v>
      </c>
      <c r="O48" s="82">
        <v>345.48285549999616</v>
      </c>
      <c r="P48" s="82">
        <v>679.33460850000768</v>
      </c>
      <c r="Q48" s="82">
        <v>464.1820518999977</v>
      </c>
      <c r="R48" s="82">
        <v>188.97538623999787</v>
      </c>
      <c r="S48" s="82">
        <v>1175.5566970799941</v>
      </c>
      <c r="T48" s="84">
        <v>1374.7521736299896</v>
      </c>
      <c r="U48" s="84">
        <v>1591.1488610099946</v>
      </c>
      <c r="V48" s="85">
        <v>1355.3874683800004</v>
      </c>
      <c r="W48" s="85">
        <v>3435.9042191999997</v>
      </c>
      <c r="X48" s="85">
        <v>3816.8624563600083</v>
      </c>
    </row>
    <row r="49" spans="4:24" ht="27.75" x14ac:dyDescent="0.65">
      <c r="D49" s="19" t="s">
        <v>248</v>
      </c>
      <c r="E49" s="19" t="s">
        <v>245</v>
      </c>
      <c r="F49">
        <v>48</v>
      </c>
      <c r="G49">
        <v>48</v>
      </c>
      <c r="H49">
        <v>34</v>
      </c>
      <c r="I49" s="31" t="s">
        <v>198</v>
      </c>
      <c r="J49" s="79" t="s">
        <v>25</v>
      </c>
      <c r="K49" s="82">
        <v>1112.2118156000001</v>
      </c>
      <c r="L49" s="82">
        <v>370.79680509999986</v>
      </c>
      <c r="M49" s="82">
        <v>699.94295950000003</v>
      </c>
      <c r="N49" s="82">
        <v>581.3072820000001</v>
      </c>
      <c r="O49" s="82">
        <v>995.94082849999893</v>
      </c>
      <c r="P49" s="82">
        <v>466.26693930000039</v>
      </c>
      <c r="Q49" s="82">
        <v>415.29335059999988</v>
      </c>
      <c r="R49" s="82">
        <v>1016.4842174699996</v>
      </c>
      <c r="S49" s="82">
        <v>558.21786725999982</v>
      </c>
      <c r="T49" s="84">
        <v>223.02699318000012</v>
      </c>
      <c r="U49" s="84">
        <v>641.75761790000001</v>
      </c>
      <c r="V49" s="85">
        <v>2619.7472467800003</v>
      </c>
      <c r="W49" s="85">
        <v>947.72524401999999</v>
      </c>
      <c r="X49" s="85">
        <v>1028.1628909999997</v>
      </c>
    </row>
    <row r="50" spans="4:24" ht="27.75" x14ac:dyDescent="0.65">
      <c r="D50" s="19" t="s">
        <v>248</v>
      </c>
      <c r="E50" s="19" t="s">
        <v>245</v>
      </c>
      <c r="F50">
        <v>49</v>
      </c>
      <c r="G50">
        <v>49</v>
      </c>
      <c r="H50">
        <v>34</v>
      </c>
      <c r="I50" s="31" t="s">
        <v>60</v>
      </c>
      <c r="J50" s="79" t="s">
        <v>25</v>
      </c>
      <c r="K50" s="82">
        <v>1174.8440169999999</v>
      </c>
      <c r="L50" s="82">
        <v>1868.0926530999998</v>
      </c>
      <c r="M50" s="82">
        <v>2178.5259546999973</v>
      </c>
      <c r="N50" s="82">
        <v>2003.2432890000014</v>
      </c>
      <c r="O50" s="82">
        <v>2779.4462778000016</v>
      </c>
      <c r="P50" s="82">
        <v>1815.1138227999995</v>
      </c>
      <c r="Q50" s="82">
        <v>2387.6652800999991</v>
      </c>
      <c r="R50" s="82">
        <v>3193.5258987500006</v>
      </c>
      <c r="S50" s="82">
        <v>3260.1764420999998</v>
      </c>
      <c r="T50" s="84">
        <v>3048.0617198099935</v>
      </c>
      <c r="U50" s="84">
        <v>2732.9134552200026</v>
      </c>
      <c r="V50" s="85">
        <v>2167.0957410599999</v>
      </c>
      <c r="W50" s="85">
        <v>3372.16502803</v>
      </c>
      <c r="X50" s="85">
        <v>4266.0063278300004</v>
      </c>
    </row>
    <row r="51" spans="4:24" ht="27.75" x14ac:dyDescent="0.65">
      <c r="D51" s="19" t="s">
        <v>248</v>
      </c>
      <c r="E51" s="19" t="s">
        <v>245</v>
      </c>
      <c r="F51">
        <v>50</v>
      </c>
      <c r="G51">
        <v>50</v>
      </c>
      <c r="H51">
        <v>34</v>
      </c>
      <c r="I51" s="31" t="s">
        <v>200</v>
      </c>
      <c r="J51" s="79" t="s">
        <v>25</v>
      </c>
      <c r="K51" s="82">
        <v>42.16837850000001</v>
      </c>
      <c r="L51" s="82">
        <v>83.108179700000008</v>
      </c>
      <c r="M51" s="82">
        <v>159.75366849999995</v>
      </c>
      <c r="N51" s="82">
        <v>115.32106420000001</v>
      </c>
      <c r="O51" s="82">
        <v>172.91471699999994</v>
      </c>
      <c r="P51" s="82">
        <v>145.38041550000003</v>
      </c>
      <c r="Q51" s="82">
        <v>161.51408380000001</v>
      </c>
      <c r="R51" s="82">
        <v>3745.5656952299996</v>
      </c>
      <c r="S51" s="82">
        <v>592.09329077999973</v>
      </c>
      <c r="T51" s="84">
        <v>49.143268239999998</v>
      </c>
      <c r="U51" s="84">
        <v>209.40211174000001</v>
      </c>
      <c r="V51" s="85">
        <v>1761.1846273499998</v>
      </c>
      <c r="W51" s="85">
        <v>367.96388264999996</v>
      </c>
      <c r="X51" s="85">
        <v>397.01566087000009</v>
      </c>
    </row>
    <row r="52" spans="4:24" ht="27.75" x14ac:dyDescent="0.65">
      <c r="D52" s="19" t="s">
        <v>248</v>
      </c>
      <c r="E52" s="19" t="s">
        <v>245</v>
      </c>
      <c r="F52">
        <v>51</v>
      </c>
      <c r="G52">
        <v>51</v>
      </c>
      <c r="H52">
        <v>34</v>
      </c>
      <c r="I52" s="31" t="s">
        <v>201</v>
      </c>
      <c r="J52" s="79" t="s">
        <v>25</v>
      </c>
      <c r="K52" s="82">
        <v>81.057152700000003</v>
      </c>
      <c r="L52" s="82">
        <v>563.38389640000003</v>
      </c>
      <c r="M52" s="82">
        <v>777.01317930000005</v>
      </c>
      <c r="N52" s="82">
        <v>160.42546400000001</v>
      </c>
      <c r="O52" s="82">
        <v>295.04064309999995</v>
      </c>
      <c r="P52" s="82">
        <v>498.27782569999999</v>
      </c>
      <c r="Q52" s="82">
        <v>1802.4129822000002</v>
      </c>
      <c r="R52" s="82">
        <v>2594.4536879699999</v>
      </c>
      <c r="S52" s="82">
        <v>1758.0279354500003</v>
      </c>
      <c r="T52" s="84">
        <v>758.1175975000001</v>
      </c>
      <c r="U52" s="84">
        <v>2298.3077871499991</v>
      </c>
      <c r="V52" s="85">
        <v>697.88333287</v>
      </c>
      <c r="W52" s="85">
        <v>632.57282472000009</v>
      </c>
      <c r="X52" s="85">
        <v>262.49550034999999</v>
      </c>
    </row>
    <row r="53" spans="4:24" ht="27.75" x14ac:dyDescent="0.65">
      <c r="D53" s="19" t="s">
        <v>248</v>
      </c>
      <c r="E53" s="19" t="s">
        <v>245</v>
      </c>
      <c r="F53">
        <v>52</v>
      </c>
      <c r="G53">
        <v>52</v>
      </c>
      <c r="H53">
        <v>34</v>
      </c>
      <c r="I53" s="31" t="s">
        <v>93</v>
      </c>
      <c r="J53" s="79" t="s">
        <v>25</v>
      </c>
      <c r="K53" s="82">
        <v>971.26995290000013</v>
      </c>
      <c r="L53" s="82">
        <v>290.60779900000006</v>
      </c>
      <c r="M53" s="82">
        <v>137.86361090000003</v>
      </c>
      <c r="N53" s="82">
        <v>464.96002450000015</v>
      </c>
      <c r="O53" s="82">
        <v>315.1837463</v>
      </c>
      <c r="P53" s="82">
        <v>164.56951560000007</v>
      </c>
      <c r="Q53" s="82">
        <v>144.22061920000002</v>
      </c>
      <c r="R53" s="82">
        <v>173.53804258000002</v>
      </c>
      <c r="S53" s="82">
        <v>245.19694389999998</v>
      </c>
      <c r="T53" s="84">
        <v>247.32418453000003</v>
      </c>
      <c r="U53" s="84">
        <v>1170.5134826700003</v>
      </c>
      <c r="V53" s="85">
        <v>135.07748294999999</v>
      </c>
      <c r="W53" s="85">
        <v>169.09149256999999</v>
      </c>
      <c r="X53" s="85">
        <v>119.32932537000002</v>
      </c>
    </row>
    <row r="54" spans="4:24" ht="27.75" x14ac:dyDescent="0.65">
      <c r="D54" s="19" t="s">
        <v>248</v>
      </c>
      <c r="E54" s="19" t="s">
        <v>245</v>
      </c>
      <c r="F54">
        <v>53</v>
      </c>
      <c r="G54">
        <v>53</v>
      </c>
      <c r="H54">
        <v>34</v>
      </c>
      <c r="I54" s="31" t="s">
        <v>216</v>
      </c>
      <c r="J54" s="79" t="s">
        <v>25</v>
      </c>
      <c r="K54" s="82">
        <v>282.41963120000003</v>
      </c>
      <c r="L54" s="82">
        <v>79.648611199999991</v>
      </c>
      <c r="M54" s="82">
        <v>322.64427449999994</v>
      </c>
      <c r="N54" s="82">
        <v>1140.2324150999998</v>
      </c>
      <c r="O54" s="82">
        <v>1245.5780103</v>
      </c>
      <c r="P54" s="82">
        <v>803.90323380000007</v>
      </c>
      <c r="Q54" s="82">
        <v>3413.5772944</v>
      </c>
      <c r="R54" s="82">
        <v>4165.8794666600006</v>
      </c>
      <c r="S54" s="82">
        <v>5072.3425592599997</v>
      </c>
      <c r="T54" s="84">
        <v>6157.336013430001</v>
      </c>
      <c r="U54" s="84">
        <v>2080.8610069199999</v>
      </c>
      <c r="V54" s="85">
        <v>61.98396631</v>
      </c>
      <c r="W54" s="85">
        <v>139.05097325</v>
      </c>
      <c r="X54" s="85">
        <v>619.73741471000017</v>
      </c>
    </row>
    <row r="55" spans="4:24" ht="27.75" x14ac:dyDescent="0.65">
      <c r="D55" s="19" t="s">
        <v>248</v>
      </c>
      <c r="E55" s="19" t="s">
        <v>245</v>
      </c>
      <c r="F55">
        <v>54</v>
      </c>
      <c r="G55">
        <v>54</v>
      </c>
      <c r="H55">
        <v>34</v>
      </c>
      <c r="I55" s="31" t="s">
        <v>96</v>
      </c>
      <c r="J55" s="79" t="s">
        <v>25</v>
      </c>
      <c r="K55" s="82">
        <v>14.334710599998473</v>
      </c>
      <c r="L55" s="82">
        <v>29.864965099990844</v>
      </c>
      <c r="M55" s="82">
        <v>68.990638799995423</v>
      </c>
      <c r="N55" s="82">
        <v>168.17223200000001</v>
      </c>
      <c r="O55" s="82">
        <v>411.34663440000151</v>
      </c>
      <c r="P55" s="82">
        <v>474.95474989999769</v>
      </c>
      <c r="Q55" s="82">
        <v>331.72187369998932</v>
      </c>
      <c r="R55" s="82">
        <v>452.90559073999026</v>
      </c>
      <c r="S55" s="82">
        <v>22.08188938999939</v>
      </c>
      <c r="T55" s="84">
        <v>238.64208526999664</v>
      </c>
      <c r="U55" s="84">
        <v>290.8105226899948</v>
      </c>
      <c r="V55" s="85">
        <v>825.87261266000007</v>
      </c>
      <c r="W55" s="85">
        <v>425.44094352000002</v>
      </c>
      <c r="X55" s="85">
        <v>7295.4527685197681</v>
      </c>
    </row>
    <row r="56" spans="4:24" ht="27.75" x14ac:dyDescent="0.65">
      <c r="D56" s="19" t="s">
        <v>248</v>
      </c>
      <c r="E56" s="19" t="s">
        <v>245</v>
      </c>
      <c r="F56">
        <v>55</v>
      </c>
      <c r="G56">
        <v>55</v>
      </c>
      <c r="H56">
        <v>1</v>
      </c>
      <c r="I56" s="31" t="s">
        <v>97</v>
      </c>
      <c r="J56" s="79" t="s">
        <v>25</v>
      </c>
      <c r="K56" s="82">
        <v>4006.8605822999984</v>
      </c>
      <c r="L56" s="82">
        <v>6286.2784962999967</v>
      </c>
      <c r="M56" s="82">
        <v>8380.0469230000035</v>
      </c>
      <c r="N56" s="82">
        <v>4135.0069641999989</v>
      </c>
      <c r="O56" s="82">
        <v>4646.3960673000001</v>
      </c>
      <c r="P56" s="82">
        <v>3743.0584887000032</v>
      </c>
      <c r="Q56" s="82">
        <v>4740.2093449999984</v>
      </c>
      <c r="R56" s="82">
        <v>4811.6935683800002</v>
      </c>
      <c r="S56" s="82">
        <v>5500.1987612300027</v>
      </c>
      <c r="T56" s="84">
        <v>9245.9690339699991</v>
      </c>
      <c r="U56" s="84">
        <v>11734.773298880003</v>
      </c>
      <c r="V56" s="85">
        <v>21813.538640610004</v>
      </c>
      <c r="W56" s="85">
        <v>16292.701526300001</v>
      </c>
      <c r="X56" s="85">
        <v>22512.76857444999</v>
      </c>
    </row>
    <row r="57" spans="4:24" ht="27.75" x14ac:dyDescent="0.65">
      <c r="D57" s="19" t="s">
        <v>248</v>
      </c>
      <c r="E57" s="19" t="s">
        <v>245</v>
      </c>
      <c r="F57">
        <v>56</v>
      </c>
      <c r="G57">
        <v>56</v>
      </c>
      <c r="H57">
        <v>55</v>
      </c>
      <c r="I57" s="31" t="s">
        <v>61</v>
      </c>
      <c r="J57" s="79" t="s">
        <v>25</v>
      </c>
      <c r="K57" s="82">
        <v>1055.2743671999997</v>
      </c>
      <c r="L57" s="82">
        <v>1929.7893451000002</v>
      </c>
      <c r="M57" s="82">
        <v>1377.2340024</v>
      </c>
      <c r="N57" s="82">
        <v>997.98282300000017</v>
      </c>
      <c r="O57" s="82">
        <v>1974.5583821</v>
      </c>
      <c r="P57" s="82">
        <v>690.12254329999996</v>
      </c>
      <c r="Q57" s="82">
        <v>1309.5129242000005</v>
      </c>
      <c r="R57" s="82">
        <v>1062.42906399</v>
      </c>
      <c r="S57" s="82">
        <v>796.61448833999998</v>
      </c>
      <c r="T57" s="84">
        <v>3834.3070582700007</v>
      </c>
      <c r="U57" s="84">
        <v>3731.7456653900012</v>
      </c>
      <c r="V57" s="85">
        <v>6578.2348388500004</v>
      </c>
      <c r="W57" s="85">
        <v>8008.0290014700004</v>
      </c>
      <c r="X57" s="85">
        <v>12905.448293889998</v>
      </c>
    </row>
    <row r="58" spans="4:24" ht="27.75" x14ac:dyDescent="0.65">
      <c r="D58" s="19" t="s">
        <v>248</v>
      </c>
      <c r="E58" s="19" t="s">
        <v>245</v>
      </c>
      <c r="F58">
        <v>57</v>
      </c>
      <c r="G58">
        <v>57</v>
      </c>
      <c r="H58">
        <v>55</v>
      </c>
      <c r="I58" s="31" t="s">
        <v>100</v>
      </c>
      <c r="J58" s="79" t="s">
        <v>25</v>
      </c>
      <c r="K58" s="82">
        <v>459.59053610000001</v>
      </c>
      <c r="L58" s="82">
        <v>864.2729104</v>
      </c>
      <c r="M58" s="82">
        <v>25.339460300000002</v>
      </c>
      <c r="N58" s="82">
        <v>26.364322699999995</v>
      </c>
      <c r="O58" s="82">
        <v>9.9751423999999993</v>
      </c>
      <c r="P58" s="82">
        <v>1.0881790999999998</v>
      </c>
      <c r="Q58" s="82">
        <v>2.1039773999999998</v>
      </c>
      <c r="R58" s="82">
        <v>1235.9969999800001</v>
      </c>
      <c r="S58" s="82">
        <v>370.9731807</v>
      </c>
      <c r="T58" s="84">
        <v>95.646842379999995</v>
      </c>
      <c r="U58" s="84">
        <v>1935.59995291</v>
      </c>
      <c r="V58" s="85">
        <v>6306.9633498000003</v>
      </c>
      <c r="W58" s="85">
        <v>86.872454169999997</v>
      </c>
      <c r="X58" s="85">
        <v>438.47441699999996</v>
      </c>
    </row>
    <row r="59" spans="4:24" ht="27.75" x14ac:dyDescent="0.65">
      <c r="D59" s="19" t="s">
        <v>248</v>
      </c>
      <c r="E59" s="19" t="s">
        <v>245</v>
      </c>
      <c r="F59">
        <v>58</v>
      </c>
      <c r="G59">
        <v>58</v>
      </c>
      <c r="H59">
        <v>55</v>
      </c>
      <c r="I59" s="31" t="s">
        <v>99</v>
      </c>
      <c r="J59" s="79" t="s">
        <v>25</v>
      </c>
      <c r="K59" s="82">
        <v>2059.3546725999986</v>
      </c>
      <c r="L59" s="82">
        <v>1679.3572596999988</v>
      </c>
      <c r="M59" s="82">
        <v>6197.6778754000024</v>
      </c>
      <c r="N59" s="82">
        <v>2281.2744438999985</v>
      </c>
      <c r="O59" s="82">
        <v>2396.9630415000006</v>
      </c>
      <c r="P59" s="82">
        <v>2734.7643171000022</v>
      </c>
      <c r="Q59" s="82">
        <v>2505.7607077999983</v>
      </c>
      <c r="R59" s="82">
        <v>1973.6273305699995</v>
      </c>
      <c r="S59" s="82">
        <v>2846.9932957900019</v>
      </c>
      <c r="T59" s="84">
        <v>2525.9373026400017</v>
      </c>
      <c r="U59" s="84">
        <v>3077.5442606600031</v>
      </c>
      <c r="V59" s="85">
        <v>5457.8975344099999</v>
      </c>
      <c r="W59" s="85">
        <v>6633.6114129899997</v>
      </c>
      <c r="X59" s="85">
        <v>7011.0066081699952</v>
      </c>
    </row>
    <row r="60" spans="4:24" ht="27.75" x14ac:dyDescent="0.65">
      <c r="D60" s="19" t="s">
        <v>248</v>
      </c>
      <c r="E60" s="19" t="s">
        <v>245</v>
      </c>
      <c r="F60">
        <v>59</v>
      </c>
      <c r="G60">
        <v>59</v>
      </c>
      <c r="H60">
        <v>55</v>
      </c>
      <c r="I60" s="31" t="s">
        <v>98</v>
      </c>
      <c r="J60" s="79" t="s">
        <v>25</v>
      </c>
      <c r="K60" s="82">
        <v>139.95621949999995</v>
      </c>
      <c r="L60" s="82">
        <v>1207.4059700999985</v>
      </c>
      <c r="M60" s="82">
        <v>396.59698290000011</v>
      </c>
      <c r="N60" s="82">
        <v>170.82729640000014</v>
      </c>
      <c r="O60" s="82">
        <v>141.89481940000002</v>
      </c>
      <c r="P60" s="82">
        <v>201.20057509999992</v>
      </c>
      <c r="Q60" s="82">
        <v>346.45295830000003</v>
      </c>
      <c r="R60" s="82">
        <v>400.64375698000021</v>
      </c>
      <c r="S60" s="82">
        <v>672.28455224000004</v>
      </c>
      <c r="T60" s="84">
        <v>1084.8832034699994</v>
      </c>
      <c r="U60" s="84">
        <v>1009.5673040100006</v>
      </c>
      <c r="V60" s="85">
        <v>407.14314812999999</v>
      </c>
      <c r="W60" s="85">
        <v>742.31453782000006</v>
      </c>
      <c r="X60" s="85">
        <v>1201.42378824</v>
      </c>
    </row>
    <row r="61" spans="4:24" ht="27.75" x14ac:dyDescent="0.65">
      <c r="D61" s="19" t="s">
        <v>248</v>
      </c>
      <c r="E61" s="19" t="s">
        <v>245</v>
      </c>
      <c r="F61">
        <v>60</v>
      </c>
      <c r="G61">
        <v>60</v>
      </c>
      <c r="H61">
        <v>55</v>
      </c>
      <c r="I61" s="31" t="s">
        <v>101</v>
      </c>
      <c r="J61" s="79" t="s">
        <v>25</v>
      </c>
      <c r="K61" s="82">
        <v>292.68478689999961</v>
      </c>
      <c r="L61" s="82">
        <v>605.45301099999904</v>
      </c>
      <c r="M61" s="82">
        <v>383.19860200000193</v>
      </c>
      <c r="N61" s="82">
        <v>658.5580782000003</v>
      </c>
      <c r="O61" s="82">
        <v>123.00468190000058</v>
      </c>
      <c r="P61" s="82">
        <v>115.88287410000086</v>
      </c>
      <c r="Q61" s="82">
        <v>576.37877729999923</v>
      </c>
      <c r="R61" s="82">
        <v>138.99641685999967</v>
      </c>
      <c r="S61" s="82">
        <v>813.33324416000085</v>
      </c>
      <c r="T61" s="84">
        <v>1705.1946272099972</v>
      </c>
      <c r="U61" s="84">
        <v>1980.316115909998</v>
      </c>
      <c r="V61" s="85">
        <v>3063.2997694200008</v>
      </c>
      <c r="W61" s="85">
        <v>821.87411985000006</v>
      </c>
      <c r="X61" s="85">
        <v>956.4154671499939</v>
      </c>
    </row>
    <row r="62" spans="4:24" ht="27.75" x14ac:dyDescent="0.65">
      <c r="D62" s="19" t="s">
        <v>248</v>
      </c>
      <c r="E62" s="19" t="s">
        <v>245</v>
      </c>
      <c r="F62">
        <v>61</v>
      </c>
      <c r="G62">
        <v>61</v>
      </c>
      <c r="H62">
        <v>1</v>
      </c>
      <c r="I62" s="31" t="s">
        <v>102</v>
      </c>
      <c r="J62" s="79" t="s">
        <v>25</v>
      </c>
      <c r="K62" s="82">
        <v>197.00107019999695</v>
      </c>
      <c r="L62" s="82">
        <v>17.938049199981691</v>
      </c>
      <c r="M62" s="82">
        <v>121.74391330000306</v>
      </c>
      <c r="N62" s="82">
        <v>8.4850018000335687</v>
      </c>
      <c r="O62" s="82">
        <v>12.369145399993897</v>
      </c>
      <c r="P62" s="82">
        <v>58.042220999984742</v>
      </c>
      <c r="Q62" s="82">
        <v>473.84565149999997</v>
      </c>
      <c r="R62" s="82">
        <v>4.2065219300231931</v>
      </c>
      <c r="S62" s="82">
        <v>5.6602275100402828</v>
      </c>
      <c r="T62" s="84">
        <v>41.411079820022586</v>
      </c>
      <c r="U62" s="84">
        <v>58.98167017001343</v>
      </c>
      <c r="V62" s="85">
        <v>29.50199482</v>
      </c>
      <c r="W62" s="85">
        <v>29.122055669999998</v>
      </c>
      <c r="X62" s="85">
        <v>11.578098450103759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0812-DA81-4EBB-911A-1A67832CA3EB}">
  <dimension ref="A1:X26"/>
  <sheetViews>
    <sheetView zoomScale="69" workbookViewId="0">
      <selection activeCell="D2" sqref="D2:D26"/>
    </sheetView>
  </sheetViews>
  <sheetFormatPr baseColWidth="10" defaultRowHeight="15" x14ac:dyDescent="0.25"/>
  <cols>
    <col min="4" max="4" width="63.85546875" bestFit="1" customWidth="1"/>
    <col min="5" max="5" width="60.28515625" bestFit="1" customWidth="1"/>
    <col min="9" max="9" width="40.7109375" bestFit="1" customWidth="1"/>
    <col min="18" max="24" width="12.7109375" bestFit="1" customWidth="1"/>
  </cols>
  <sheetData>
    <row r="1" spans="1:24" ht="30.75" x14ac:dyDescent="0.6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31">
        <v>2011</v>
      </c>
      <c r="L1" s="31">
        <v>2012</v>
      </c>
      <c r="M1" s="31">
        <v>2013</v>
      </c>
      <c r="N1" s="31">
        <v>2014</v>
      </c>
      <c r="O1" s="31">
        <v>2015</v>
      </c>
      <c r="P1" s="31">
        <v>2016</v>
      </c>
      <c r="Q1" s="31">
        <v>2017</v>
      </c>
      <c r="R1" s="31">
        <v>2018</v>
      </c>
      <c r="S1" s="31">
        <v>2019</v>
      </c>
      <c r="T1" s="31">
        <v>2020</v>
      </c>
      <c r="U1" s="31">
        <v>2021</v>
      </c>
      <c r="V1" s="31">
        <v>2022</v>
      </c>
      <c r="W1" s="31">
        <v>2023</v>
      </c>
      <c r="X1" s="31">
        <v>2024</v>
      </c>
    </row>
    <row r="2" spans="1:24" ht="27.75" x14ac:dyDescent="0.65">
      <c r="D2" s="19" t="s">
        <v>247</v>
      </c>
      <c r="E2" s="19" t="s">
        <v>245</v>
      </c>
      <c r="F2">
        <v>1</v>
      </c>
      <c r="G2">
        <v>1</v>
      </c>
      <c r="I2" s="86" t="s">
        <v>27</v>
      </c>
      <c r="J2" s="87" t="s">
        <v>25</v>
      </c>
      <c r="K2" s="88">
        <v>9334.9816341999995</v>
      </c>
      <c r="L2" s="88">
        <v>12103.415682800001</v>
      </c>
      <c r="M2" s="88">
        <v>12574.375988600003</v>
      </c>
      <c r="N2" s="88">
        <v>12687.761898800003</v>
      </c>
      <c r="O2" s="88">
        <v>14345.355762599995</v>
      </c>
      <c r="P2" s="88">
        <v>12834.995838900002</v>
      </c>
      <c r="Q2" s="88">
        <v>16909.993120499999</v>
      </c>
      <c r="R2" s="89">
        <v>19824.244951364999</v>
      </c>
      <c r="S2" s="89">
        <v>19978.252538659999</v>
      </c>
      <c r="T2" s="89">
        <v>29270.30689267</v>
      </c>
      <c r="U2" s="89">
        <v>33575.930222820003</v>
      </c>
      <c r="V2" s="89">
        <v>40059.219254250005</v>
      </c>
      <c r="W2" s="89">
        <v>42321.701455769988</v>
      </c>
      <c r="X2" s="89">
        <v>43362.666065520003</v>
      </c>
    </row>
    <row r="3" spans="1:24" ht="27.75" x14ac:dyDescent="0.65">
      <c r="D3" s="19" t="s">
        <v>247</v>
      </c>
      <c r="E3" s="19" t="s">
        <v>245</v>
      </c>
      <c r="F3">
        <v>2</v>
      </c>
      <c r="G3">
        <v>2</v>
      </c>
      <c r="H3">
        <v>1</v>
      </c>
      <c r="I3" s="90" t="s">
        <v>43</v>
      </c>
      <c r="J3" s="87" t="s">
        <v>25</v>
      </c>
      <c r="K3" s="91">
        <v>3684.7614985999999</v>
      </c>
      <c r="L3" s="91">
        <v>5735.804411099999</v>
      </c>
      <c r="M3" s="91">
        <v>5047.8704985000004</v>
      </c>
      <c r="N3" s="91">
        <v>5169.2374355000011</v>
      </c>
      <c r="O3" s="91">
        <v>5570.3323915000001</v>
      </c>
      <c r="P3" s="91">
        <v>3965.5821814000005</v>
      </c>
      <c r="Q3" s="91">
        <v>4848.9783322000012</v>
      </c>
      <c r="R3" s="92">
        <v>7451.97755641</v>
      </c>
      <c r="S3" s="92">
        <v>7078.1975362499988</v>
      </c>
      <c r="T3" s="92">
        <v>7873.5188598099985</v>
      </c>
      <c r="U3" s="92">
        <v>8901.2042518900016</v>
      </c>
      <c r="V3" s="92">
        <v>12497.852185060001</v>
      </c>
      <c r="W3" s="92">
        <v>8870.2467695200012</v>
      </c>
      <c r="X3" s="92">
        <v>10890.493646110001</v>
      </c>
    </row>
    <row r="4" spans="1:24" ht="27.75" x14ac:dyDescent="0.65">
      <c r="D4" s="19" t="s">
        <v>247</v>
      </c>
      <c r="E4" s="19" t="s">
        <v>245</v>
      </c>
      <c r="F4">
        <v>3</v>
      </c>
      <c r="G4">
        <v>3</v>
      </c>
      <c r="H4">
        <v>2</v>
      </c>
      <c r="I4" s="93" t="s">
        <v>44</v>
      </c>
      <c r="J4" s="87" t="s">
        <v>25</v>
      </c>
      <c r="K4" s="91">
        <v>2768.4482460999998</v>
      </c>
      <c r="L4" s="91">
        <v>4125.2154256999993</v>
      </c>
      <c r="M4" s="91">
        <v>3227.3782717000004</v>
      </c>
      <c r="N4" s="91">
        <v>3334.0412763000004</v>
      </c>
      <c r="O4" s="91">
        <v>3996.1814188999997</v>
      </c>
      <c r="P4" s="91">
        <v>2931.3282602000004</v>
      </c>
      <c r="Q4" s="91">
        <v>3903.4687984000007</v>
      </c>
      <c r="R4" s="92">
        <v>5972.1093175699998</v>
      </c>
      <c r="S4" s="92">
        <v>5060.1213551999999</v>
      </c>
      <c r="T4" s="92">
        <v>6847.5964882899989</v>
      </c>
      <c r="U4" s="92">
        <v>7815.6991394899997</v>
      </c>
      <c r="V4" s="92">
        <v>11226.265946510001</v>
      </c>
      <c r="W4" s="92">
        <v>8021.8840283200007</v>
      </c>
      <c r="X4" s="92">
        <v>9948.8830208899999</v>
      </c>
    </row>
    <row r="5" spans="1:24" ht="27.75" x14ac:dyDescent="0.65">
      <c r="D5" s="19" t="s">
        <v>247</v>
      </c>
      <c r="E5" s="19" t="s">
        <v>245</v>
      </c>
      <c r="F5">
        <v>4</v>
      </c>
      <c r="G5">
        <v>4</v>
      </c>
      <c r="H5">
        <v>2</v>
      </c>
      <c r="I5" s="93" t="s">
        <v>46</v>
      </c>
      <c r="J5" s="87" t="s">
        <v>25</v>
      </c>
      <c r="K5" s="91">
        <v>913.17902300000003</v>
      </c>
      <c r="L5" s="91">
        <v>1604.0285615999996</v>
      </c>
      <c r="M5" s="91">
        <v>1804.4243151000001</v>
      </c>
      <c r="N5" s="91">
        <v>1834.5212223000003</v>
      </c>
      <c r="O5" s="91">
        <v>1567.9663072000008</v>
      </c>
      <c r="P5" s="91">
        <v>1032.0356793000003</v>
      </c>
      <c r="Q5" s="91">
        <v>936.65531240000041</v>
      </c>
      <c r="R5" s="92">
        <v>1378.6727344600001</v>
      </c>
      <c r="S5" s="92">
        <v>1913.6526630599994</v>
      </c>
      <c r="T5" s="92">
        <v>962.56903514999999</v>
      </c>
      <c r="U5" s="92">
        <v>884.84590905999994</v>
      </c>
      <c r="V5" s="92">
        <v>860.98769358999994</v>
      </c>
      <c r="W5" s="92">
        <v>636.84641550000015</v>
      </c>
      <c r="X5" s="92">
        <v>617.26262890999999</v>
      </c>
    </row>
    <row r="6" spans="1:24" ht="27.75" x14ac:dyDescent="0.65">
      <c r="D6" s="19" t="s">
        <v>247</v>
      </c>
      <c r="E6" s="19" t="s">
        <v>245</v>
      </c>
      <c r="F6">
        <v>5</v>
      </c>
      <c r="G6">
        <v>5</v>
      </c>
      <c r="H6">
        <v>2</v>
      </c>
      <c r="I6" s="93" t="s">
        <v>45</v>
      </c>
      <c r="J6" s="87" t="s">
        <v>25</v>
      </c>
      <c r="K6" s="91">
        <v>0.59469519999999998</v>
      </c>
      <c r="L6" s="91">
        <v>3.1826442999999998</v>
      </c>
      <c r="M6" s="91">
        <v>0.12765000000000001</v>
      </c>
      <c r="N6" s="91">
        <v>0.4044275</v>
      </c>
      <c r="O6" s="91">
        <v>0.65091739999999998</v>
      </c>
      <c r="P6" s="91">
        <v>1.3138784999999999</v>
      </c>
      <c r="Q6" s="91">
        <v>2.9324496</v>
      </c>
      <c r="R6" s="92">
        <v>99.248375580000001</v>
      </c>
      <c r="S6" s="92">
        <v>100.10132846</v>
      </c>
      <c r="T6" s="92">
        <v>52.816364109999995</v>
      </c>
      <c r="U6" s="92">
        <v>196.67306750999998</v>
      </c>
      <c r="V6" s="92">
        <v>393.15662786000001</v>
      </c>
      <c r="W6" s="92">
        <v>174.44344303000003</v>
      </c>
      <c r="X6" s="92">
        <v>258.58853328999999</v>
      </c>
    </row>
    <row r="7" spans="1:24" ht="27.75" x14ac:dyDescent="0.65">
      <c r="D7" s="19" t="s">
        <v>247</v>
      </c>
      <c r="E7" s="19" t="s">
        <v>245</v>
      </c>
      <c r="F7">
        <v>6</v>
      </c>
      <c r="G7">
        <v>6</v>
      </c>
      <c r="H7">
        <v>1</v>
      </c>
      <c r="I7" s="90" t="s">
        <v>232</v>
      </c>
      <c r="J7" s="87" t="s">
        <v>25</v>
      </c>
      <c r="K7" s="91">
        <v>254.63081560000006</v>
      </c>
      <c r="L7" s="91">
        <v>248.60184669999998</v>
      </c>
      <c r="M7" s="91">
        <v>223.48671240000007</v>
      </c>
      <c r="N7" s="91">
        <v>107.4600895</v>
      </c>
      <c r="O7" s="91">
        <v>245.8461322</v>
      </c>
      <c r="P7" s="91">
        <v>116.37675510000001</v>
      </c>
      <c r="Q7" s="91">
        <v>82.437278300000017</v>
      </c>
      <c r="R7" s="92">
        <v>87.67628698999998</v>
      </c>
      <c r="S7" s="92">
        <v>141.73341666000002</v>
      </c>
      <c r="T7" s="92">
        <v>61.916731919999997</v>
      </c>
      <c r="U7" s="92">
        <v>39.141613</v>
      </c>
      <c r="V7" s="92">
        <v>33.219732960000002</v>
      </c>
      <c r="W7" s="92">
        <v>101.04578616000003</v>
      </c>
      <c r="X7" s="92">
        <v>36.341778020000014</v>
      </c>
    </row>
    <row r="8" spans="1:24" ht="27.75" x14ac:dyDescent="0.65">
      <c r="D8" s="19" t="s">
        <v>247</v>
      </c>
      <c r="E8" s="19" t="s">
        <v>245</v>
      </c>
      <c r="F8">
        <v>7</v>
      </c>
      <c r="G8">
        <v>7</v>
      </c>
      <c r="H8">
        <v>6</v>
      </c>
      <c r="I8" s="93" t="s">
        <v>233</v>
      </c>
      <c r="J8" s="87" t="s">
        <v>25</v>
      </c>
      <c r="K8" s="91">
        <v>253.26028870000005</v>
      </c>
      <c r="L8" s="91">
        <v>202.8395577</v>
      </c>
      <c r="M8" s="91">
        <v>180.86073860000005</v>
      </c>
      <c r="N8" s="91">
        <v>101.42615929999999</v>
      </c>
      <c r="O8" s="91">
        <v>229.781552</v>
      </c>
      <c r="P8" s="91">
        <v>105.74646180000001</v>
      </c>
      <c r="Q8" s="91">
        <v>39.933006500000005</v>
      </c>
      <c r="R8" s="92">
        <v>66.11132779999997</v>
      </c>
      <c r="S8" s="92">
        <v>124.04336524000001</v>
      </c>
      <c r="T8" s="92">
        <v>40.212680059999997</v>
      </c>
      <c r="U8" s="92">
        <v>27.510546989999998</v>
      </c>
      <c r="V8" s="92">
        <v>22.540610839999996</v>
      </c>
      <c r="W8" s="92">
        <v>18.38645477</v>
      </c>
      <c r="X8" s="92">
        <v>18.947797689999998</v>
      </c>
    </row>
    <row r="9" spans="1:24" ht="27.75" x14ac:dyDescent="0.65">
      <c r="D9" s="19" t="s">
        <v>247</v>
      </c>
      <c r="E9" s="19" t="s">
        <v>245</v>
      </c>
      <c r="F9">
        <v>8</v>
      </c>
      <c r="G9">
        <v>8</v>
      </c>
      <c r="H9">
        <v>6</v>
      </c>
      <c r="I9" s="93" t="s">
        <v>47</v>
      </c>
      <c r="J9" s="87" t="s">
        <v>25</v>
      </c>
      <c r="K9" s="91">
        <v>1.0047849</v>
      </c>
      <c r="L9" s="91">
        <v>45.71655899999999</v>
      </c>
      <c r="M9" s="91">
        <v>42.473171100000002</v>
      </c>
      <c r="N9" s="91">
        <v>6.0339301999999995</v>
      </c>
      <c r="O9" s="91">
        <v>12.240923399999998</v>
      </c>
      <c r="P9" s="91">
        <v>10.6302933</v>
      </c>
      <c r="Q9" s="91">
        <v>41.478338599999994</v>
      </c>
      <c r="R9" s="92">
        <v>21.222983190000001</v>
      </c>
      <c r="S9" s="92">
        <v>17.690051420000007</v>
      </c>
      <c r="T9" s="92">
        <v>21.24538768</v>
      </c>
      <c r="U9" s="92">
        <v>11.026723780000001</v>
      </c>
      <c r="V9" s="92">
        <v>9.248242120000004</v>
      </c>
      <c r="W9" s="92">
        <v>16.383336340000042</v>
      </c>
      <c r="X9" s="92">
        <v>16.051060340000014</v>
      </c>
    </row>
    <row r="10" spans="1:24" ht="27.75" x14ac:dyDescent="0.65">
      <c r="D10" s="19" t="s">
        <v>247</v>
      </c>
      <c r="E10" s="19" t="s">
        <v>245</v>
      </c>
      <c r="F10">
        <v>9</v>
      </c>
      <c r="G10">
        <v>9</v>
      </c>
      <c r="H10">
        <v>1</v>
      </c>
      <c r="I10" s="90" t="s">
        <v>54</v>
      </c>
      <c r="J10" s="87" t="s">
        <v>25</v>
      </c>
      <c r="K10" s="91">
        <v>755.75865490000001</v>
      </c>
      <c r="L10" s="91">
        <v>616.78404049999995</v>
      </c>
      <c r="M10" s="91">
        <v>628.74300929999981</v>
      </c>
      <c r="N10" s="91">
        <v>456.07767059999992</v>
      </c>
      <c r="O10" s="91">
        <v>1130.1178104000001</v>
      </c>
      <c r="P10" s="91">
        <v>766.8761839</v>
      </c>
      <c r="Q10" s="91">
        <v>2131.1484181000005</v>
      </c>
      <c r="R10" s="92">
        <v>1647.6739870899999</v>
      </c>
      <c r="S10" s="92">
        <v>1963.0064706200001</v>
      </c>
      <c r="T10" s="92">
        <v>6509.3428174199998</v>
      </c>
      <c r="U10" s="92">
        <v>6599.5418599499999</v>
      </c>
      <c r="V10" s="92">
        <v>9747.3392268800017</v>
      </c>
      <c r="W10" s="92">
        <v>10885.428261959998</v>
      </c>
      <c r="X10" s="92">
        <v>13667.913388799996</v>
      </c>
    </row>
    <row r="11" spans="1:24" ht="27.75" x14ac:dyDescent="0.65">
      <c r="D11" s="19" t="s">
        <v>247</v>
      </c>
      <c r="E11" s="19" t="s">
        <v>245</v>
      </c>
      <c r="F11">
        <v>10</v>
      </c>
      <c r="G11">
        <v>10</v>
      </c>
      <c r="H11">
        <v>9</v>
      </c>
      <c r="I11" s="93" t="s">
        <v>57</v>
      </c>
      <c r="J11" s="87" t="s">
        <v>25</v>
      </c>
      <c r="K11" s="91">
        <v>726.92530169999998</v>
      </c>
      <c r="L11" s="91">
        <v>589.78463579999993</v>
      </c>
      <c r="M11" s="91">
        <v>575.06536849999986</v>
      </c>
      <c r="N11" s="91">
        <v>384.35525369999993</v>
      </c>
      <c r="O11" s="91">
        <v>1058.4580336000001</v>
      </c>
      <c r="P11" s="91">
        <v>690.86194360000002</v>
      </c>
      <c r="Q11" s="91">
        <v>2058.7353837000005</v>
      </c>
      <c r="R11" s="92">
        <v>1590.15959054</v>
      </c>
      <c r="S11" s="92">
        <v>1921.87467545</v>
      </c>
      <c r="T11" s="92">
        <v>6462.5441428800004</v>
      </c>
      <c r="U11" s="92">
        <v>6512.280753</v>
      </c>
      <c r="V11" s="92">
        <v>9689.4470691000006</v>
      </c>
      <c r="W11" s="92">
        <v>10830.058887059997</v>
      </c>
      <c r="X11" s="92">
        <v>13590.357572499996</v>
      </c>
    </row>
    <row r="12" spans="1:24" ht="27.75" x14ac:dyDescent="0.65">
      <c r="D12" s="19" t="s">
        <v>247</v>
      </c>
      <c r="E12" s="19" t="s">
        <v>245</v>
      </c>
      <c r="F12">
        <v>11</v>
      </c>
      <c r="G12">
        <v>11</v>
      </c>
      <c r="H12">
        <v>9</v>
      </c>
      <c r="I12" s="93" t="s">
        <v>55</v>
      </c>
      <c r="J12" s="87" t="s">
        <v>25</v>
      </c>
      <c r="K12" s="91">
        <v>28.478608400000013</v>
      </c>
      <c r="L12" s="91">
        <v>26.156959900000004</v>
      </c>
      <c r="M12" s="91">
        <v>53.506008399999992</v>
      </c>
      <c r="N12" s="91">
        <v>71.430016899999984</v>
      </c>
      <c r="O12" s="91">
        <v>71.507854799999961</v>
      </c>
      <c r="P12" s="91">
        <v>75.632271099999983</v>
      </c>
      <c r="Q12" s="91">
        <v>71.738942599999987</v>
      </c>
      <c r="R12" s="92">
        <v>56.830958309999993</v>
      </c>
      <c r="S12" s="92">
        <v>38.517174509999997</v>
      </c>
      <c r="T12" s="92">
        <v>44.697983380000004</v>
      </c>
      <c r="U12" s="92">
        <v>85.491147030000022</v>
      </c>
      <c r="V12" s="92">
        <v>56.181335270000005</v>
      </c>
      <c r="W12" s="92">
        <v>52.75250230999999</v>
      </c>
      <c r="X12" s="92">
        <v>75.26797581999999</v>
      </c>
    </row>
    <row r="13" spans="1:24" ht="27.75" x14ac:dyDescent="0.65">
      <c r="D13" s="19" t="s">
        <v>247</v>
      </c>
      <c r="E13" s="19" t="s">
        <v>245</v>
      </c>
      <c r="F13">
        <v>12</v>
      </c>
      <c r="G13">
        <v>12</v>
      </c>
      <c r="H13">
        <v>9</v>
      </c>
      <c r="I13" s="93" t="s">
        <v>56</v>
      </c>
      <c r="J13" s="87" t="s">
        <v>25</v>
      </c>
      <c r="K13" s="91">
        <v>0.35474479999999997</v>
      </c>
      <c r="L13" s="91">
        <v>0.84244479999999988</v>
      </c>
      <c r="M13" s="91">
        <v>0.17163239999999999</v>
      </c>
      <c r="N13" s="91">
        <v>0.29239999999999999</v>
      </c>
      <c r="O13" s="91">
        <v>0.151922</v>
      </c>
      <c r="P13" s="91">
        <v>0.38196920000000001</v>
      </c>
      <c r="Q13" s="91">
        <v>0.67409180000000002</v>
      </c>
      <c r="R13" s="92">
        <v>0.68343823999999997</v>
      </c>
      <c r="S13" s="92">
        <v>2.6146206599999999</v>
      </c>
      <c r="T13" s="92">
        <v>44.697983380000004</v>
      </c>
      <c r="U13" s="92">
        <v>85.491147030000022</v>
      </c>
      <c r="V13" s="92">
        <v>56.181335270000005</v>
      </c>
      <c r="W13" s="92">
        <v>52.75250230999999</v>
      </c>
      <c r="X13" s="92">
        <v>75.26797581999999</v>
      </c>
    </row>
    <row r="14" spans="1:24" ht="27.75" x14ac:dyDescent="0.65">
      <c r="D14" s="19" t="s">
        <v>247</v>
      </c>
      <c r="E14" s="19" t="s">
        <v>245</v>
      </c>
      <c r="F14">
        <v>13</v>
      </c>
      <c r="G14">
        <v>13</v>
      </c>
      <c r="H14">
        <v>1</v>
      </c>
      <c r="I14" s="90" t="s">
        <v>234</v>
      </c>
      <c r="J14" s="87" t="s">
        <v>25</v>
      </c>
      <c r="K14" s="91">
        <v>1207.8894249</v>
      </c>
      <c r="L14" s="91">
        <v>1348.4787851000003</v>
      </c>
      <c r="M14" s="91">
        <v>1563.0481880999985</v>
      </c>
      <c r="N14" s="91">
        <v>1431.7785703</v>
      </c>
      <c r="O14" s="91">
        <v>1429.4547893999993</v>
      </c>
      <c r="P14" s="91">
        <v>1572.8251915000003</v>
      </c>
      <c r="Q14" s="91">
        <v>2050.7728628000013</v>
      </c>
      <c r="R14" s="92">
        <v>2015.5036080399991</v>
      </c>
      <c r="S14" s="92">
        <v>1913.1994710099993</v>
      </c>
      <c r="T14" s="92">
        <v>5966.9022071299987</v>
      </c>
      <c r="U14" s="92">
        <v>6676.2608716799996</v>
      </c>
      <c r="V14" s="92">
        <v>6559.4717288200009</v>
      </c>
      <c r="W14" s="92">
        <v>12129.109774150007</v>
      </c>
      <c r="X14" s="92">
        <v>7358.6057546500051</v>
      </c>
    </row>
    <row r="15" spans="1:24" ht="27.75" x14ac:dyDescent="0.65">
      <c r="D15" s="19" t="s">
        <v>247</v>
      </c>
      <c r="E15" s="19" t="s">
        <v>245</v>
      </c>
      <c r="F15">
        <v>14</v>
      </c>
      <c r="G15">
        <v>14</v>
      </c>
      <c r="H15">
        <v>1</v>
      </c>
      <c r="I15" s="90" t="s">
        <v>50</v>
      </c>
      <c r="J15" s="87" t="s">
        <v>25</v>
      </c>
      <c r="K15" s="91">
        <v>452.10123029999983</v>
      </c>
      <c r="L15" s="91">
        <v>596.28309469999988</v>
      </c>
      <c r="M15" s="91">
        <v>651.27441579999993</v>
      </c>
      <c r="N15" s="91">
        <v>720.65429459999905</v>
      </c>
      <c r="O15" s="91">
        <v>793.37624269999981</v>
      </c>
      <c r="P15" s="91">
        <v>831.60932140000182</v>
      </c>
      <c r="Q15" s="91">
        <v>1628.4599293000006</v>
      </c>
      <c r="R15" s="92">
        <v>1845.7857407399979</v>
      </c>
      <c r="S15" s="92">
        <v>1554.0594727799985</v>
      </c>
      <c r="T15" s="92">
        <v>2504.8595937100004</v>
      </c>
      <c r="U15" s="92">
        <v>4018.9905163299986</v>
      </c>
      <c r="V15" s="92">
        <v>3672.1500961500001</v>
      </c>
      <c r="W15" s="92">
        <v>2739.0029420400001</v>
      </c>
      <c r="X15" s="92">
        <v>2753.8225370099995</v>
      </c>
    </row>
    <row r="16" spans="1:24" ht="27.75" x14ac:dyDescent="0.65">
      <c r="D16" s="19" t="s">
        <v>247</v>
      </c>
      <c r="E16" s="19" t="s">
        <v>245</v>
      </c>
      <c r="F16">
        <v>15</v>
      </c>
      <c r="G16">
        <v>15</v>
      </c>
      <c r="H16">
        <v>1</v>
      </c>
      <c r="I16" s="90" t="s">
        <v>49</v>
      </c>
      <c r="J16" s="87" t="s">
        <v>25</v>
      </c>
      <c r="K16" s="91">
        <v>1732.406312099999</v>
      </c>
      <c r="L16" s="91">
        <v>1961.3346227000027</v>
      </c>
      <c r="M16" s="91">
        <v>2282.6722906</v>
      </c>
      <c r="N16" s="91">
        <v>2218.3801966000001</v>
      </c>
      <c r="O16" s="91">
        <v>2370.9356348999981</v>
      </c>
      <c r="P16" s="91">
        <v>2303.7895593999997</v>
      </c>
      <c r="Q16" s="91">
        <v>2890.7032396999953</v>
      </c>
      <c r="R16" s="92">
        <v>3458.819897639999</v>
      </c>
      <c r="S16" s="92">
        <v>4089.3733168199992</v>
      </c>
      <c r="T16" s="92">
        <v>2845.6870829899999</v>
      </c>
      <c r="U16" s="92">
        <v>3042.3332683699991</v>
      </c>
      <c r="V16" s="92">
        <v>2998.7534118600001</v>
      </c>
      <c r="W16" s="92">
        <v>2855.2146969800001</v>
      </c>
      <c r="X16" s="92">
        <v>3488.6140773200018</v>
      </c>
    </row>
    <row r="17" spans="4:24" ht="27.75" x14ac:dyDescent="0.65">
      <c r="D17" s="19" t="s">
        <v>247</v>
      </c>
      <c r="E17" s="19" t="s">
        <v>245</v>
      </c>
      <c r="F17">
        <v>16</v>
      </c>
      <c r="G17">
        <v>16</v>
      </c>
      <c r="H17">
        <v>1</v>
      </c>
      <c r="I17" s="90" t="s">
        <v>58</v>
      </c>
      <c r="J17" s="87" t="s">
        <v>25</v>
      </c>
      <c r="K17" s="91">
        <v>309.27038040000002</v>
      </c>
      <c r="L17" s="91">
        <v>354.45967339999999</v>
      </c>
      <c r="M17" s="91">
        <v>543.56654280000021</v>
      </c>
      <c r="N17" s="91">
        <v>549.83578710000029</v>
      </c>
      <c r="O17" s="91">
        <v>785.09776079999972</v>
      </c>
      <c r="P17" s="91">
        <v>800.56439029999979</v>
      </c>
      <c r="Q17" s="91">
        <v>867.33095399999979</v>
      </c>
      <c r="R17" s="92">
        <v>951.73810189000028</v>
      </c>
      <c r="S17" s="92">
        <v>1071.46219498</v>
      </c>
      <c r="T17" s="92">
        <v>896.04895304000001</v>
      </c>
      <c r="U17" s="92">
        <v>1194.8104300500013</v>
      </c>
      <c r="V17" s="92">
        <v>1445.3391565800005</v>
      </c>
      <c r="W17" s="92">
        <v>1496.1511291999991</v>
      </c>
      <c r="X17" s="92">
        <v>1651.0920531700006</v>
      </c>
    </row>
    <row r="18" spans="4:24" ht="27.75" x14ac:dyDescent="0.65">
      <c r="D18" s="19" t="s">
        <v>247</v>
      </c>
      <c r="E18" s="19" t="s">
        <v>245</v>
      </c>
      <c r="F18">
        <v>17</v>
      </c>
      <c r="G18">
        <v>17</v>
      </c>
      <c r="H18">
        <v>1</v>
      </c>
      <c r="I18" s="90" t="s">
        <v>42</v>
      </c>
      <c r="J18" s="87" t="s">
        <v>25</v>
      </c>
      <c r="K18" s="91">
        <v>369.45867249999992</v>
      </c>
      <c r="L18" s="91">
        <v>454.81174109999972</v>
      </c>
      <c r="M18" s="91">
        <v>587.56248260000064</v>
      </c>
      <c r="N18" s="91">
        <v>754.34750940000038</v>
      </c>
      <c r="O18" s="91">
        <v>678.63956129999974</v>
      </c>
      <c r="P18" s="91">
        <v>953.82595580000009</v>
      </c>
      <c r="Q18" s="91">
        <v>782.07378889999973</v>
      </c>
      <c r="R18" s="92">
        <v>850.68107669999984</v>
      </c>
      <c r="S18" s="92">
        <v>825.46431208000013</v>
      </c>
      <c r="T18" s="92">
        <v>1171.6692876499999</v>
      </c>
      <c r="U18" s="92">
        <v>1388.6447731999999</v>
      </c>
      <c r="V18" s="92">
        <v>1241.4036585000003</v>
      </c>
      <c r="W18" s="92">
        <v>1237.4126712400002</v>
      </c>
      <c r="X18" s="92">
        <v>1090.1117393</v>
      </c>
    </row>
    <row r="19" spans="4:24" ht="27.75" x14ac:dyDescent="0.65">
      <c r="D19" s="19" t="s">
        <v>247</v>
      </c>
      <c r="E19" s="19" t="s">
        <v>245</v>
      </c>
      <c r="F19">
        <v>18</v>
      </c>
      <c r="G19">
        <v>18</v>
      </c>
      <c r="H19">
        <v>1</v>
      </c>
      <c r="I19" s="90" t="s">
        <v>48</v>
      </c>
      <c r="J19" s="87" t="s">
        <v>25</v>
      </c>
      <c r="K19" s="91">
        <v>91.790440499999988</v>
      </c>
      <c r="L19" s="91">
        <v>124.79142699999998</v>
      </c>
      <c r="M19" s="91">
        <v>134.11961230000003</v>
      </c>
      <c r="N19" s="91">
        <v>200.90061760000029</v>
      </c>
      <c r="O19" s="91">
        <v>272.29717260000024</v>
      </c>
      <c r="P19" s="91">
        <v>229.16755049999995</v>
      </c>
      <c r="Q19" s="91">
        <v>342.74830420000006</v>
      </c>
      <c r="R19" s="92">
        <v>333.61348466999993</v>
      </c>
      <c r="S19" s="92">
        <v>358.5683243200001</v>
      </c>
      <c r="T19" s="92">
        <v>420.4802947199999</v>
      </c>
      <c r="U19" s="92">
        <v>444.99638011999991</v>
      </c>
      <c r="V19" s="92">
        <v>585.57042749999971</v>
      </c>
      <c r="W19" s="92">
        <v>592.09722583000064</v>
      </c>
      <c r="X19" s="92">
        <v>732.78684690000011</v>
      </c>
    </row>
    <row r="20" spans="4:24" ht="27.75" x14ac:dyDescent="0.65">
      <c r="D20" s="19" t="s">
        <v>247</v>
      </c>
      <c r="E20" s="19" t="s">
        <v>245</v>
      </c>
      <c r="F20">
        <v>19</v>
      </c>
      <c r="G20">
        <v>19</v>
      </c>
      <c r="H20">
        <v>1</v>
      </c>
      <c r="I20" s="90" t="s">
        <v>51</v>
      </c>
      <c r="J20" s="87" t="s">
        <v>25</v>
      </c>
      <c r="K20" s="91">
        <v>183.63615680000004</v>
      </c>
      <c r="L20" s="91">
        <v>193.41154719999992</v>
      </c>
      <c r="M20" s="91">
        <v>295.13597559999954</v>
      </c>
      <c r="N20" s="91">
        <v>311.03402779999993</v>
      </c>
      <c r="O20" s="91">
        <v>334.17611430000034</v>
      </c>
      <c r="P20" s="91">
        <v>375.47764979999994</v>
      </c>
      <c r="Q20" s="91">
        <v>359.01225899999997</v>
      </c>
      <c r="R20" s="92">
        <v>484.23852951999999</v>
      </c>
      <c r="S20" s="92">
        <v>443.28007876000004</v>
      </c>
      <c r="T20" s="92">
        <v>400.26104657000008</v>
      </c>
      <c r="U20" s="92">
        <v>410.99356845000005</v>
      </c>
      <c r="V20" s="92">
        <v>459.97740797000017</v>
      </c>
      <c r="W20" s="92">
        <v>532.09670928999992</v>
      </c>
      <c r="X20" s="92">
        <v>621.70961328999999</v>
      </c>
    </row>
    <row r="21" spans="4:24" ht="27.75" x14ac:dyDescent="0.65">
      <c r="D21" s="19" t="s">
        <v>247</v>
      </c>
      <c r="E21" s="19" t="s">
        <v>245</v>
      </c>
      <c r="F21">
        <v>20</v>
      </c>
      <c r="G21">
        <v>20</v>
      </c>
      <c r="H21">
        <v>1</v>
      </c>
      <c r="I21" s="90" t="s">
        <v>41</v>
      </c>
      <c r="J21" s="87" t="s">
        <v>25</v>
      </c>
      <c r="K21" s="91">
        <v>105.17864030000001</v>
      </c>
      <c r="L21" s="91">
        <v>157.33175790000013</v>
      </c>
      <c r="M21" s="91">
        <v>157.23393419999996</v>
      </c>
      <c r="N21" s="91">
        <v>185.12918289999985</v>
      </c>
      <c r="O21" s="91">
        <v>166.38179639999996</v>
      </c>
      <c r="P21" s="91">
        <v>218.16235769999992</v>
      </c>
      <c r="Q21" s="91">
        <v>274.98260220000014</v>
      </c>
      <c r="R21" s="92">
        <v>262.34239421499996</v>
      </c>
      <c r="S21" s="92">
        <v>201.13243318000002</v>
      </c>
      <c r="T21" s="92">
        <v>180.78008736000001</v>
      </c>
      <c r="U21" s="92">
        <v>259.4225896399999</v>
      </c>
      <c r="V21" s="92">
        <v>304.42042578000007</v>
      </c>
      <c r="W21" s="92">
        <v>280.07213006000006</v>
      </c>
      <c r="X21" s="92">
        <v>411.10215517000006</v>
      </c>
    </row>
    <row r="22" spans="4:24" ht="27.75" x14ac:dyDescent="0.65">
      <c r="D22" s="19" t="s">
        <v>247</v>
      </c>
      <c r="E22" s="19" t="s">
        <v>245</v>
      </c>
      <c r="F22">
        <v>21</v>
      </c>
      <c r="G22">
        <v>21</v>
      </c>
      <c r="H22">
        <v>1</v>
      </c>
      <c r="I22" s="90" t="s">
        <v>52</v>
      </c>
      <c r="J22" s="87" t="s">
        <v>25</v>
      </c>
      <c r="K22" s="91">
        <v>137.94089099999991</v>
      </c>
      <c r="L22" s="91">
        <v>253.25136119999985</v>
      </c>
      <c r="M22" s="91">
        <v>373.24275820000042</v>
      </c>
      <c r="N22" s="91">
        <v>465.28614570000036</v>
      </c>
      <c r="O22" s="91">
        <v>451.72339089999986</v>
      </c>
      <c r="P22" s="91">
        <v>489.20545300000038</v>
      </c>
      <c r="Q22" s="91">
        <v>523.85238070000037</v>
      </c>
      <c r="R22" s="92">
        <v>279.48013476999995</v>
      </c>
      <c r="S22" s="92">
        <v>206.64558848999997</v>
      </c>
      <c r="T22" s="92">
        <v>266.33135876</v>
      </c>
      <c r="U22" s="92">
        <v>330.60924978999998</v>
      </c>
      <c r="V22" s="92">
        <v>271.01912235999998</v>
      </c>
      <c r="W22" s="92">
        <v>311.50824820000008</v>
      </c>
      <c r="X22" s="92">
        <v>410.77437072000009</v>
      </c>
    </row>
    <row r="23" spans="4:24" ht="27.75" x14ac:dyDescent="0.65">
      <c r="D23" s="19" t="s">
        <v>247</v>
      </c>
      <c r="E23" s="19" t="s">
        <v>245</v>
      </c>
      <c r="F23">
        <v>22</v>
      </c>
      <c r="G23">
        <v>22</v>
      </c>
      <c r="H23">
        <v>1</v>
      </c>
      <c r="I23" s="90" t="s">
        <v>53</v>
      </c>
      <c r="J23" s="87" t="s">
        <v>25</v>
      </c>
      <c r="K23" s="91">
        <v>20.5394334</v>
      </c>
      <c r="L23" s="91">
        <v>21.713277300000009</v>
      </c>
      <c r="M23" s="91">
        <v>29.765064500000005</v>
      </c>
      <c r="N23" s="91">
        <v>42.041099100000004</v>
      </c>
      <c r="O23" s="91">
        <v>39.104693799999986</v>
      </c>
      <c r="P23" s="91">
        <v>149.39939290000007</v>
      </c>
      <c r="Q23" s="91">
        <v>60.743987600000004</v>
      </c>
      <c r="R23" s="92">
        <v>82.145218359999959</v>
      </c>
      <c r="S23" s="92">
        <v>66.899129280000011</v>
      </c>
      <c r="T23" s="92">
        <v>87.773922419999977</v>
      </c>
      <c r="U23" s="92">
        <v>185.13754210000002</v>
      </c>
      <c r="V23" s="92">
        <v>170.63090898000004</v>
      </c>
      <c r="W23" s="92">
        <v>187.12369364000003</v>
      </c>
      <c r="X23" s="92">
        <v>160.99922523999999</v>
      </c>
    </row>
    <row r="24" spans="4:24" ht="27.75" x14ac:dyDescent="0.65">
      <c r="D24" s="19" t="s">
        <v>247</v>
      </c>
      <c r="E24" s="19" t="s">
        <v>245</v>
      </c>
      <c r="F24">
        <v>23</v>
      </c>
      <c r="G24">
        <v>23</v>
      </c>
      <c r="H24">
        <v>1</v>
      </c>
      <c r="I24" s="90" t="s">
        <v>235</v>
      </c>
      <c r="J24" s="87" t="s">
        <v>25</v>
      </c>
      <c r="K24" s="91">
        <v>22.294015999999996</v>
      </c>
      <c r="L24" s="91">
        <v>25.253791299999996</v>
      </c>
      <c r="M24" s="91">
        <v>45.612126100000012</v>
      </c>
      <c r="N24" s="91">
        <v>69.602833699999991</v>
      </c>
      <c r="O24" s="91">
        <v>66.319801199999986</v>
      </c>
      <c r="P24" s="91">
        <v>56.490024699999971</v>
      </c>
      <c r="Q24" s="91">
        <v>49.691735000000008</v>
      </c>
      <c r="R24" s="92">
        <v>51.921555330000011</v>
      </c>
      <c r="S24" s="92">
        <v>46.378810290000011</v>
      </c>
      <c r="T24" s="92">
        <v>57.506677760000066</v>
      </c>
      <c r="U24" s="92">
        <v>66.948211149999992</v>
      </c>
      <c r="V24" s="92">
        <v>49.466480089999983</v>
      </c>
      <c r="W24" s="92">
        <v>44.571841690000007</v>
      </c>
      <c r="X24" s="94">
        <v>42.946826380000005</v>
      </c>
    </row>
    <row r="25" spans="4:24" ht="27.75" x14ac:dyDescent="0.65">
      <c r="D25" s="19" t="s">
        <v>247</v>
      </c>
      <c r="E25" s="19" t="s">
        <v>245</v>
      </c>
      <c r="F25">
        <v>24</v>
      </c>
      <c r="G25">
        <v>24</v>
      </c>
      <c r="H25">
        <v>1</v>
      </c>
      <c r="I25" s="90" t="s">
        <v>236</v>
      </c>
      <c r="J25" s="87" t="s">
        <v>25</v>
      </c>
      <c r="K25" s="91">
        <v>4.3324197999999994</v>
      </c>
      <c r="L25" s="91">
        <v>2.7322706000000001</v>
      </c>
      <c r="M25" s="91">
        <v>4.5785301999999994</v>
      </c>
      <c r="N25" s="91">
        <v>1.7380576000000001</v>
      </c>
      <c r="O25" s="91">
        <v>7.1383388999999999</v>
      </c>
      <c r="P25" s="91">
        <v>1.1568163999999999</v>
      </c>
      <c r="Q25" s="91">
        <v>10.257240300000001</v>
      </c>
      <c r="R25" s="92">
        <v>9.6354250399999994</v>
      </c>
      <c r="S25" s="92">
        <v>2.5292917699999999</v>
      </c>
      <c r="T25" s="92">
        <v>12.11875362</v>
      </c>
      <c r="U25" s="92">
        <v>3.3086048300000002</v>
      </c>
      <c r="V25" s="92">
        <v>7.2395437699999992</v>
      </c>
      <c r="W25" s="92">
        <v>5.6242754599999998</v>
      </c>
      <c r="X25" s="92">
        <v>11.127451000000001</v>
      </c>
    </row>
    <row r="26" spans="4:24" ht="27.75" x14ac:dyDescent="0.65">
      <c r="D26" s="19" t="s">
        <v>247</v>
      </c>
      <c r="E26" s="19" t="s">
        <v>245</v>
      </c>
      <c r="F26">
        <v>25</v>
      </c>
      <c r="G26">
        <v>25</v>
      </c>
      <c r="H26">
        <v>1</v>
      </c>
      <c r="I26" s="90" t="s">
        <v>217</v>
      </c>
      <c r="J26" s="87" t="s">
        <v>25</v>
      </c>
      <c r="K26" s="91">
        <v>2.9926471000035235</v>
      </c>
      <c r="L26" s="91">
        <v>8.3720350000021426</v>
      </c>
      <c r="M26" s="91">
        <v>6.4638474000039423</v>
      </c>
      <c r="N26" s="91">
        <v>4.2583807999999408</v>
      </c>
      <c r="O26" s="91">
        <v>4.4141312999963702</v>
      </c>
      <c r="P26" s="91">
        <v>4.4870550999985426</v>
      </c>
      <c r="Q26" s="91">
        <v>6.7998082000012801</v>
      </c>
      <c r="R26" s="92">
        <v>11.011953960001847</v>
      </c>
      <c r="S26" s="92">
        <v>16.322691370012762</v>
      </c>
      <c r="T26" s="92">
        <v>15.109217790000915</v>
      </c>
      <c r="U26" s="92">
        <v>13.586492270000457</v>
      </c>
      <c r="V26" s="92">
        <v>15.365740990005493</v>
      </c>
      <c r="W26" s="92">
        <v>54.995300349983218</v>
      </c>
      <c r="X26" s="92">
        <v>34.224602440002442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EB4C-23F3-4872-9D7D-2EB50ECFE71C}">
  <sheetPr>
    <tabColor theme="6"/>
  </sheetPr>
  <dimension ref="A1:X14"/>
  <sheetViews>
    <sheetView zoomScale="49" workbookViewId="0">
      <selection activeCell="E2" sqref="E2"/>
    </sheetView>
  </sheetViews>
  <sheetFormatPr baseColWidth="10" defaultRowHeight="15" x14ac:dyDescent="0.25"/>
  <cols>
    <col min="4" max="4" width="76.5703125" bestFit="1" customWidth="1"/>
    <col min="5" max="5" width="47.5703125" bestFit="1" customWidth="1"/>
    <col min="9" max="9" width="33.7109375" customWidth="1"/>
    <col min="10" max="10" width="29" customWidth="1"/>
    <col min="11" max="11" width="20.28515625" customWidth="1"/>
    <col min="12" max="18" width="12.7109375" bestFit="1" customWidth="1"/>
    <col min="19" max="20" width="14.140625" bestFit="1" customWidth="1"/>
    <col min="21" max="21" width="13.7109375" customWidth="1"/>
    <col min="22" max="24" width="13.85546875" bestFit="1" customWidth="1"/>
  </cols>
  <sheetData>
    <row r="1" spans="1:24" ht="30.7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>
        <v>2021</v>
      </c>
      <c r="V1" s="2">
        <v>2022</v>
      </c>
      <c r="W1" s="2">
        <v>2023</v>
      </c>
      <c r="X1" s="2">
        <v>2024</v>
      </c>
    </row>
    <row r="2" spans="1:24" ht="27.75" x14ac:dyDescent="0.65">
      <c r="B2" s="3" t="s">
        <v>10</v>
      </c>
      <c r="D2" s="33" t="s">
        <v>244</v>
      </c>
      <c r="E2" s="20" t="s">
        <v>245</v>
      </c>
      <c r="F2">
        <v>1</v>
      </c>
      <c r="G2">
        <v>1</v>
      </c>
      <c r="I2" s="30" t="s">
        <v>103</v>
      </c>
      <c r="J2" s="32" t="s">
        <v>25</v>
      </c>
      <c r="K2" s="34">
        <v>72108.008630199998</v>
      </c>
      <c r="L2" s="34">
        <v>65013.334940000001</v>
      </c>
      <c r="M2" s="34">
        <v>72850.630492700016</v>
      </c>
      <c r="N2" s="34">
        <v>66674.875283799993</v>
      </c>
      <c r="O2" s="34">
        <v>53714.65035030002</v>
      </c>
      <c r="P2" s="34">
        <v>57925.245532099994</v>
      </c>
      <c r="Q2" s="34">
        <v>75242.066798409971</v>
      </c>
      <c r="R2" s="34">
        <v>89432.278859049999</v>
      </c>
      <c r="S2" s="34">
        <v>109241.39882803398</v>
      </c>
      <c r="T2" s="34">
        <v>105260.98672544997</v>
      </c>
      <c r="U2" s="34">
        <v>116977.58046502</v>
      </c>
      <c r="V2" s="34">
        <v>137576.50322419999</v>
      </c>
      <c r="W2" s="34">
        <v>144543.51317554002</v>
      </c>
      <c r="X2" s="34">
        <v>169681.08595965899</v>
      </c>
    </row>
    <row r="3" spans="1:24" ht="27.75" x14ac:dyDescent="0.65">
      <c r="B3" s="3" t="s">
        <v>10</v>
      </c>
      <c r="D3" s="33" t="s">
        <v>244</v>
      </c>
      <c r="E3" s="20" t="s">
        <v>245</v>
      </c>
      <c r="F3">
        <v>2</v>
      </c>
      <c r="G3">
        <v>2</v>
      </c>
      <c r="H3">
        <v>1</v>
      </c>
      <c r="I3" s="35" t="s">
        <v>104</v>
      </c>
      <c r="J3" s="32" t="s">
        <v>25</v>
      </c>
      <c r="K3" s="34">
        <v>42625.113843500003</v>
      </c>
      <c r="L3" s="34">
        <v>22009.917056499999</v>
      </c>
      <c r="M3" s="34">
        <v>36140.747359799992</v>
      </c>
      <c r="N3" s="34">
        <v>26090.431342299995</v>
      </c>
      <c r="O3" s="34">
        <v>12754.603622299999</v>
      </c>
      <c r="P3" s="34">
        <v>16765.427223499999</v>
      </c>
      <c r="Q3" s="34">
        <v>22208.071571800003</v>
      </c>
      <c r="R3" s="34">
        <v>19144.585872</v>
      </c>
      <c r="S3" s="34">
        <v>30480.685329</v>
      </c>
      <c r="T3" s="34">
        <v>36245.299872000003</v>
      </c>
      <c r="U3" s="34">
        <v>64170.912113999999</v>
      </c>
      <c r="V3" s="34">
        <v>48099.485739800002</v>
      </c>
      <c r="W3" s="34">
        <v>50987.964632820003</v>
      </c>
      <c r="X3" s="34">
        <v>51445.367505889997</v>
      </c>
    </row>
    <row r="4" spans="1:24" ht="27.75" x14ac:dyDescent="0.65">
      <c r="B4" s="3" t="s">
        <v>10</v>
      </c>
      <c r="D4" s="33" t="s">
        <v>244</v>
      </c>
      <c r="E4" s="20" t="s">
        <v>245</v>
      </c>
      <c r="F4">
        <v>3</v>
      </c>
      <c r="G4">
        <v>3</v>
      </c>
      <c r="H4">
        <v>1</v>
      </c>
      <c r="I4" s="35" t="s">
        <v>105</v>
      </c>
      <c r="J4" s="32" t="s">
        <v>25</v>
      </c>
      <c r="K4" s="34">
        <v>5039.3364208000003</v>
      </c>
      <c r="L4" s="34">
        <v>9255.2787105999996</v>
      </c>
      <c r="M4" s="34">
        <v>9144.7549278000006</v>
      </c>
      <c r="N4" s="34">
        <v>6539.9572598999994</v>
      </c>
      <c r="O4" s="34">
        <v>8747.7664572999984</v>
      </c>
      <c r="P4" s="34">
        <v>6829.7877296000006</v>
      </c>
      <c r="Q4" s="34">
        <v>6898.6212943999999</v>
      </c>
      <c r="R4" s="34">
        <v>7212.0692628000006</v>
      </c>
      <c r="S4" s="34">
        <v>6556.0794565600008</v>
      </c>
      <c r="T4" s="34">
        <v>8025.6646218899996</v>
      </c>
      <c r="U4" s="34">
        <v>9201.4104863700013</v>
      </c>
      <c r="V4" s="34">
        <v>4921.1247880000001</v>
      </c>
      <c r="W4" s="34">
        <v>4948.6225750000003</v>
      </c>
      <c r="X4" s="34">
        <v>8448.1709057000007</v>
      </c>
    </row>
    <row r="5" spans="1:24" ht="27.75" x14ac:dyDescent="0.65">
      <c r="B5" s="3" t="s">
        <v>10</v>
      </c>
      <c r="D5" s="33" t="s">
        <v>244</v>
      </c>
      <c r="E5" s="20" t="s">
        <v>245</v>
      </c>
      <c r="F5">
        <v>4</v>
      </c>
      <c r="G5">
        <v>4</v>
      </c>
      <c r="H5">
        <v>1</v>
      </c>
      <c r="I5" s="30" t="s">
        <v>106</v>
      </c>
      <c r="J5" s="32" t="s">
        <v>25</v>
      </c>
      <c r="K5" s="34">
        <v>9294.2961452999989</v>
      </c>
      <c r="L5" s="34">
        <v>9409.9622340999995</v>
      </c>
      <c r="M5" s="34">
        <v>10769.9899121</v>
      </c>
      <c r="N5" s="34">
        <v>9730.3228322000014</v>
      </c>
      <c r="O5" s="34">
        <v>8674.3649183999987</v>
      </c>
      <c r="P5" s="34">
        <v>8025.0611186000006</v>
      </c>
      <c r="Q5" s="34">
        <v>11480.7722039</v>
      </c>
      <c r="R5" s="34">
        <v>12117.756490649997</v>
      </c>
      <c r="S5" s="34">
        <v>28839.4034297</v>
      </c>
      <c r="T5" s="34">
        <v>27457.76086835</v>
      </c>
      <c r="U5" s="34">
        <v>11565.374981060002</v>
      </c>
      <c r="V5" s="34">
        <v>43955.995875499997</v>
      </c>
      <c r="W5" s="34">
        <v>52351.865355900001</v>
      </c>
      <c r="X5" s="34">
        <v>64954.425633009989</v>
      </c>
    </row>
    <row r="6" spans="1:24" ht="27.75" x14ac:dyDescent="0.65">
      <c r="B6" s="3" t="s">
        <v>10</v>
      </c>
      <c r="D6" s="33" t="s">
        <v>244</v>
      </c>
      <c r="E6" s="20" t="s">
        <v>245</v>
      </c>
      <c r="F6">
        <v>5</v>
      </c>
      <c r="G6">
        <v>5</v>
      </c>
      <c r="H6">
        <v>1</v>
      </c>
      <c r="I6" s="36" t="s">
        <v>53</v>
      </c>
      <c r="J6" s="32" t="s">
        <v>25</v>
      </c>
      <c r="K6" s="34">
        <v>12068.346799800003</v>
      </c>
      <c r="L6" s="34">
        <v>18107.513827400006</v>
      </c>
      <c r="M6" s="34">
        <v>13863.268589800009</v>
      </c>
      <c r="N6" s="34">
        <v>20337.059257500001</v>
      </c>
      <c r="O6" s="34">
        <v>20158.215627900012</v>
      </c>
      <c r="P6" s="34">
        <v>24198.48840229999</v>
      </c>
      <c r="Q6" s="34">
        <v>30383.044412099967</v>
      </c>
      <c r="R6" s="34">
        <v>39142.719580759993</v>
      </c>
      <c r="S6" s="34">
        <v>37689.035684773997</v>
      </c>
      <c r="T6" s="34">
        <v>30601.79034094997</v>
      </c>
      <c r="U6" s="34">
        <v>30252.890388119995</v>
      </c>
      <c r="V6" s="34">
        <v>37587.330710449998</v>
      </c>
      <c r="W6" s="34">
        <v>28749.56707225</v>
      </c>
      <c r="X6" s="34">
        <v>41446.121528730102</v>
      </c>
    </row>
    <row r="7" spans="1:24" ht="27.75" x14ac:dyDescent="0.65">
      <c r="B7" s="3" t="s">
        <v>10</v>
      </c>
      <c r="D7" s="33" t="s">
        <v>244</v>
      </c>
      <c r="E7" s="20" t="s">
        <v>245</v>
      </c>
      <c r="F7">
        <v>6</v>
      </c>
      <c r="G7">
        <v>6</v>
      </c>
      <c r="H7">
        <v>5</v>
      </c>
      <c r="I7" s="36" t="s">
        <v>107</v>
      </c>
      <c r="J7" s="32" t="s">
        <v>25</v>
      </c>
      <c r="K7" s="37">
        <v>11028.407662100004</v>
      </c>
      <c r="L7" s="37">
        <v>16766.425965200004</v>
      </c>
      <c r="M7" s="37">
        <v>12003.249708900008</v>
      </c>
      <c r="N7" s="37">
        <v>17127.329320600002</v>
      </c>
      <c r="O7" s="37">
        <v>16053.21339820001</v>
      </c>
      <c r="P7" s="37">
        <v>19978.561499299991</v>
      </c>
      <c r="Q7" s="37">
        <v>23955.254020999968</v>
      </c>
      <c r="R7" s="37">
        <v>31746.824519989994</v>
      </c>
      <c r="S7" s="37">
        <v>31685.476590689996</v>
      </c>
      <c r="T7" s="37">
        <v>23608.20282674997</v>
      </c>
      <c r="U7" s="34">
        <v>24749.335397709991</v>
      </c>
      <c r="V7" s="34">
        <v>31405.60394968</v>
      </c>
      <c r="W7" s="34">
        <v>24061.716617739999</v>
      </c>
      <c r="X7" s="34">
        <v>37545.323983560069</v>
      </c>
    </row>
    <row r="8" spans="1:24" ht="27.75" x14ac:dyDescent="0.65">
      <c r="B8" s="3" t="s">
        <v>10</v>
      </c>
      <c r="D8" s="33" t="s">
        <v>244</v>
      </c>
      <c r="E8" s="20" t="s">
        <v>245</v>
      </c>
      <c r="F8">
        <v>7</v>
      </c>
      <c r="G8">
        <v>7</v>
      </c>
      <c r="H8">
        <v>5</v>
      </c>
      <c r="I8" s="36" t="s">
        <v>108</v>
      </c>
      <c r="J8" s="32" t="s">
        <v>25</v>
      </c>
      <c r="K8" s="34">
        <v>747.91279410000004</v>
      </c>
      <c r="L8" s="34">
        <v>979.86634730000003</v>
      </c>
      <c r="M8" s="34">
        <v>1217.2202301</v>
      </c>
      <c r="N8" s="34">
        <v>2398.6977365000002</v>
      </c>
      <c r="O8" s="34">
        <v>2882.3849008999996</v>
      </c>
      <c r="P8" s="34">
        <v>3155.0695524000007</v>
      </c>
      <c r="Q8" s="34">
        <v>4989.1954587000009</v>
      </c>
      <c r="R8" s="34">
        <v>5472.4560721500002</v>
      </c>
      <c r="S8" s="34">
        <v>4326.9329889799992</v>
      </c>
      <c r="T8" s="34">
        <v>5109.6297491200003</v>
      </c>
      <c r="U8" s="34">
        <v>4284.6113702500006</v>
      </c>
      <c r="V8" s="34">
        <v>4500.8096120600003</v>
      </c>
      <c r="W8" s="34">
        <v>3304.7178914400001</v>
      </c>
      <c r="X8" s="34">
        <v>3117.1280988100002</v>
      </c>
    </row>
    <row r="9" spans="1:24" ht="27.75" x14ac:dyDescent="0.65">
      <c r="B9" s="3" t="s">
        <v>10</v>
      </c>
      <c r="D9" s="33" t="s">
        <v>244</v>
      </c>
      <c r="E9" s="20" t="s">
        <v>245</v>
      </c>
      <c r="F9">
        <v>8</v>
      </c>
      <c r="G9">
        <v>8</v>
      </c>
      <c r="H9">
        <v>5</v>
      </c>
      <c r="I9" s="36" t="s">
        <v>109</v>
      </c>
      <c r="J9" s="32" t="s">
        <v>25</v>
      </c>
      <c r="K9" s="37">
        <v>53.932335299999998</v>
      </c>
      <c r="L9" s="37">
        <v>164.81703769999999</v>
      </c>
      <c r="M9" s="37">
        <v>434.60118319999998</v>
      </c>
      <c r="N9" s="37">
        <v>545.90925919999984</v>
      </c>
      <c r="O9" s="37">
        <v>1076.0015685999999</v>
      </c>
      <c r="P9" s="37">
        <v>881.52289759999985</v>
      </c>
      <c r="Q9" s="37">
        <v>1240.5880444999996</v>
      </c>
      <c r="R9" s="37">
        <v>1627.6832257200001</v>
      </c>
      <c r="S9" s="37">
        <v>1320.8230936499999</v>
      </c>
      <c r="T9" s="37">
        <v>1370.4613130999999</v>
      </c>
      <c r="U9" s="34">
        <v>844.92921073000014</v>
      </c>
      <c r="V9" s="34">
        <v>931.89107729</v>
      </c>
      <c r="W9" s="34">
        <v>707.12535854999999</v>
      </c>
      <c r="X9" s="34">
        <v>274.90244887</v>
      </c>
    </row>
    <row r="10" spans="1:24" ht="27.75" x14ac:dyDescent="0.65">
      <c r="B10" s="3" t="s">
        <v>10</v>
      </c>
      <c r="D10" s="33" t="s">
        <v>244</v>
      </c>
      <c r="E10" s="20" t="s">
        <v>245</v>
      </c>
      <c r="F10">
        <v>9</v>
      </c>
      <c r="G10">
        <v>9</v>
      </c>
      <c r="H10">
        <v>5</v>
      </c>
      <c r="I10" s="36" t="s">
        <v>75</v>
      </c>
      <c r="J10" s="32" t="s">
        <v>25</v>
      </c>
      <c r="K10" s="34">
        <v>205.53669789999998</v>
      </c>
      <c r="L10" s="34">
        <v>162.36573240000001</v>
      </c>
      <c r="M10" s="34">
        <v>181.15206639999997</v>
      </c>
      <c r="N10" s="34">
        <v>231.02533019999998</v>
      </c>
      <c r="O10" s="34">
        <v>96.247518799999995</v>
      </c>
      <c r="P10" s="34">
        <v>162.95553939999996</v>
      </c>
      <c r="Q10" s="34">
        <v>174.9484008</v>
      </c>
      <c r="R10" s="34">
        <v>270.560427</v>
      </c>
      <c r="S10" s="34">
        <v>300.35701776999997</v>
      </c>
      <c r="T10" s="34">
        <v>472.33456323000001</v>
      </c>
      <c r="U10" s="34">
        <v>351.05399188999996</v>
      </c>
      <c r="V10" s="34">
        <v>719.43691258000001</v>
      </c>
      <c r="W10" s="34">
        <v>642.78714642</v>
      </c>
      <c r="X10" s="34">
        <v>478.32653246000001</v>
      </c>
    </row>
    <row r="11" spans="1:24" ht="35.25" customHeight="1" x14ac:dyDescent="0.65">
      <c r="B11" s="3" t="s">
        <v>10</v>
      </c>
      <c r="D11" s="33" t="s">
        <v>244</v>
      </c>
      <c r="E11" s="20" t="s">
        <v>245</v>
      </c>
      <c r="F11">
        <v>10</v>
      </c>
      <c r="G11">
        <v>10</v>
      </c>
      <c r="H11">
        <v>5</v>
      </c>
      <c r="I11" s="36" t="s">
        <v>110</v>
      </c>
      <c r="J11" s="32" t="s">
        <v>25</v>
      </c>
      <c r="K11" s="37">
        <v>32.557310400000006</v>
      </c>
      <c r="L11" s="37">
        <v>34.038744799999996</v>
      </c>
      <c r="M11" s="37">
        <v>27.045401200000001</v>
      </c>
      <c r="N11" s="37">
        <v>34.097611000000001</v>
      </c>
      <c r="O11" s="37">
        <v>50.368241399999995</v>
      </c>
      <c r="P11" s="37">
        <v>20.378913600000001</v>
      </c>
      <c r="Q11" s="37">
        <v>23.058487099999997</v>
      </c>
      <c r="R11" s="37">
        <v>25.195335899999996</v>
      </c>
      <c r="S11" s="37">
        <v>55.445993684000001</v>
      </c>
      <c r="T11" s="37">
        <v>41.114987259999992</v>
      </c>
      <c r="U11" s="34">
        <v>22.960417540000002</v>
      </c>
      <c r="V11" s="34">
        <v>29.58915884</v>
      </c>
      <c r="W11" s="34">
        <v>33.220058100000003</v>
      </c>
      <c r="X11" s="34">
        <v>30.440465030000002</v>
      </c>
    </row>
    <row r="12" spans="1:24" ht="27.75" x14ac:dyDescent="0.65">
      <c r="B12" s="3" t="s">
        <v>10</v>
      </c>
      <c r="D12" s="33" t="s">
        <v>244</v>
      </c>
      <c r="E12" s="20" t="s">
        <v>245</v>
      </c>
      <c r="F12">
        <v>11</v>
      </c>
      <c r="G12">
        <v>11</v>
      </c>
      <c r="H12">
        <v>1</v>
      </c>
      <c r="I12" s="30" t="s">
        <v>111</v>
      </c>
      <c r="J12" s="32" t="s">
        <v>25</v>
      </c>
      <c r="K12" s="34">
        <v>3080.9154207999964</v>
      </c>
      <c r="L12" s="34">
        <v>6230.6631113999974</v>
      </c>
      <c r="M12" s="34">
        <v>2931.86970320002</v>
      </c>
      <c r="N12" s="34">
        <v>3977.1045919000026</v>
      </c>
      <c r="O12" s="34">
        <v>3379.6997244000158</v>
      </c>
      <c r="P12" s="34">
        <v>2106.4810581000056</v>
      </c>
      <c r="Q12" s="34">
        <v>4271.5573162100045</v>
      </c>
      <c r="R12" s="34">
        <v>11815.147652840009</v>
      </c>
      <c r="S12" s="34">
        <v>5676.1949279999972</v>
      </c>
      <c r="T12" s="34">
        <v>2930.4710222600097</v>
      </c>
      <c r="U12" s="34">
        <v>1786.9924954700166</v>
      </c>
      <c r="V12" s="34">
        <v>3012.5661104499886</v>
      </c>
      <c r="W12" s="34">
        <v>7505.4935395700159</v>
      </c>
      <c r="X12" s="34">
        <v>3387.0003863289021</v>
      </c>
    </row>
    <row r="13" spans="1:24" ht="27.75" x14ac:dyDescent="0.65">
      <c r="I13" s="38"/>
      <c r="J13" s="39"/>
      <c r="K13" s="40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4" ht="27.75" x14ac:dyDescent="0.65">
      <c r="J14" s="26"/>
      <c r="K14" s="27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19D0-FB8B-4FAA-9D9B-8AD6911AFDC2}">
  <sheetPr>
    <tabColor rgb="FFFFFF00"/>
  </sheetPr>
  <dimension ref="A1:X62"/>
  <sheetViews>
    <sheetView topLeftCell="D1" zoomScale="95" workbookViewId="0">
      <selection activeCell="E2" sqref="E2:E62"/>
    </sheetView>
  </sheetViews>
  <sheetFormatPr baseColWidth="10" defaultRowHeight="15" x14ac:dyDescent="0.25"/>
  <cols>
    <col min="9" max="9" width="26.7109375" customWidth="1"/>
    <col min="19" max="19" width="13" bestFit="1" customWidth="1"/>
    <col min="20" max="21" width="12.5703125" bestFit="1" customWidth="1"/>
  </cols>
  <sheetData>
    <row r="1" spans="1:24" ht="30.75" x14ac:dyDescent="0.6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69">
        <v>2011</v>
      </c>
      <c r="L1" s="70">
        <v>2012</v>
      </c>
      <c r="M1" s="70">
        <v>2013</v>
      </c>
      <c r="N1" s="69">
        <v>2014</v>
      </c>
      <c r="O1" s="70">
        <v>2015</v>
      </c>
      <c r="P1" s="70">
        <v>2016</v>
      </c>
      <c r="Q1" s="69">
        <v>2017</v>
      </c>
      <c r="R1" s="70">
        <v>2018</v>
      </c>
      <c r="S1" s="31">
        <v>2019</v>
      </c>
      <c r="T1" s="69">
        <v>2020</v>
      </c>
      <c r="U1" s="69">
        <v>2021</v>
      </c>
      <c r="V1" s="69">
        <v>2022</v>
      </c>
      <c r="W1" s="69">
        <v>2023</v>
      </c>
      <c r="X1" s="69">
        <v>2024</v>
      </c>
    </row>
    <row r="2" spans="1:24" ht="23.25" x14ac:dyDescent="0.5">
      <c r="B2" s="3" t="s">
        <v>10</v>
      </c>
      <c r="D2" s="68" t="s">
        <v>243</v>
      </c>
      <c r="E2" s="20" t="s">
        <v>245</v>
      </c>
      <c r="F2">
        <v>1</v>
      </c>
      <c r="G2">
        <v>1</v>
      </c>
      <c r="I2" s="71" t="s">
        <v>103</v>
      </c>
      <c r="J2" s="72" t="s">
        <v>25</v>
      </c>
      <c r="K2" s="96">
        <v>72108.008630200013</v>
      </c>
      <c r="L2" s="96">
        <v>65025.785728000024</v>
      </c>
      <c r="M2" s="96">
        <v>72853.030492700011</v>
      </c>
      <c r="N2" s="96">
        <v>66674.875283800007</v>
      </c>
      <c r="O2" s="96">
        <v>53714.650350300006</v>
      </c>
      <c r="P2" s="96">
        <v>57925.245532100009</v>
      </c>
      <c r="Q2" s="96">
        <v>75242.066798410015</v>
      </c>
      <c r="R2" s="96">
        <v>89432.278859050013</v>
      </c>
      <c r="S2" s="96">
        <v>109252.84568228398</v>
      </c>
      <c r="T2" s="97">
        <v>105260.99</v>
      </c>
      <c r="U2" s="97">
        <v>116977.58</v>
      </c>
      <c r="V2" s="97" t="s">
        <v>125</v>
      </c>
      <c r="W2" s="97" t="s">
        <v>126</v>
      </c>
      <c r="X2" s="74">
        <v>169681.09</v>
      </c>
    </row>
    <row r="3" spans="1:24" ht="23.25" x14ac:dyDescent="0.5">
      <c r="B3" s="3" t="s">
        <v>10</v>
      </c>
      <c r="D3" s="68" t="s">
        <v>243</v>
      </c>
      <c r="E3" s="20" t="s">
        <v>245</v>
      </c>
      <c r="F3">
        <v>2</v>
      </c>
      <c r="G3">
        <v>2</v>
      </c>
      <c r="H3">
        <v>1</v>
      </c>
      <c r="I3" s="70" t="s">
        <v>78</v>
      </c>
      <c r="J3" s="72" t="s">
        <v>25</v>
      </c>
      <c r="K3" s="96">
        <v>8391.3476080000037</v>
      </c>
      <c r="L3" s="96">
        <v>4541.2827262999999</v>
      </c>
      <c r="M3" s="96">
        <v>3092.9499329</v>
      </c>
      <c r="N3" s="96">
        <v>6635.7499764000004</v>
      </c>
      <c r="O3" s="96">
        <v>6053.2001042000002</v>
      </c>
      <c r="P3" s="96">
        <v>6009.6623774999998</v>
      </c>
      <c r="Q3" s="96">
        <v>6062.0161186099995</v>
      </c>
      <c r="R3" s="96">
        <v>14061.69925215</v>
      </c>
      <c r="S3" s="96">
        <v>8493.8471158140019</v>
      </c>
      <c r="T3" s="97">
        <v>8349.66</v>
      </c>
      <c r="U3" s="97">
        <v>8226.83</v>
      </c>
      <c r="V3" s="97" t="s">
        <v>127</v>
      </c>
      <c r="W3" s="97" t="s">
        <v>128</v>
      </c>
      <c r="X3" s="74">
        <v>23943.64</v>
      </c>
    </row>
    <row r="4" spans="1:24" ht="23.25" x14ac:dyDescent="0.5">
      <c r="B4" s="3" t="s">
        <v>10</v>
      </c>
      <c r="D4" s="68" t="s">
        <v>243</v>
      </c>
      <c r="E4" s="20" t="s">
        <v>245</v>
      </c>
      <c r="F4">
        <v>3</v>
      </c>
      <c r="G4">
        <v>3</v>
      </c>
      <c r="H4">
        <v>2</v>
      </c>
      <c r="I4" s="70" t="s">
        <v>79</v>
      </c>
      <c r="J4" s="72" t="s">
        <v>25</v>
      </c>
      <c r="K4" s="96">
        <v>130.24105510000001</v>
      </c>
      <c r="L4" s="96">
        <v>30.486605699999998</v>
      </c>
      <c r="M4" s="96">
        <v>55.792982099999996</v>
      </c>
      <c r="N4" s="96">
        <v>554.52490999999998</v>
      </c>
      <c r="O4" s="96">
        <v>321.03536240000005</v>
      </c>
      <c r="P4" s="96">
        <v>140.28030050000001</v>
      </c>
      <c r="Q4" s="96">
        <v>103.21670450000001</v>
      </c>
      <c r="R4" s="96">
        <v>4092.0976087399999</v>
      </c>
      <c r="S4" s="96">
        <v>176.96647732</v>
      </c>
      <c r="T4" s="97">
        <v>172.05</v>
      </c>
      <c r="U4" s="97">
        <v>75.88</v>
      </c>
      <c r="V4" s="97" t="s">
        <v>129</v>
      </c>
      <c r="W4" s="97" t="s">
        <v>130</v>
      </c>
      <c r="X4" s="74">
        <v>6240.03</v>
      </c>
    </row>
    <row r="5" spans="1:24" ht="23.25" x14ac:dyDescent="0.5">
      <c r="B5" s="3" t="s">
        <v>10</v>
      </c>
      <c r="D5" s="68" t="s">
        <v>243</v>
      </c>
      <c r="E5" s="20" t="s">
        <v>245</v>
      </c>
      <c r="F5">
        <v>4</v>
      </c>
      <c r="G5">
        <v>4</v>
      </c>
      <c r="H5">
        <v>3</v>
      </c>
      <c r="I5" s="70" t="s">
        <v>59</v>
      </c>
      <c r="J5" s="72" t="s">
        <v>25</v>
      </c>
      <c r="K5" s="96">
        <v>45.2584497</v>
      </c>
      <c r="L5" s="96">
        <v>16.862481899999999</v>
      </c>
      <c r="M5" s="96">
        <v>30.2466078</v>
      </c>
      <c r="N5" s="96">
        <v>491.79453919999997</v>
      </c>
      <c r="O5" s="96">
        <v>15.942699299999999</v>
      </c>
      <c r="P5" s="96">
        <v>53.262256000000001</v>
      </c>
      <c r="Q5" s="96">
        <v>33.624051600000001</v>
      </c>
      <c r="R5" s="96">
        <v>4003.7016470600001</v>
      </c>
      <c r="S5" s="96">
        <v>102.19201089000001</v>
      </c>
      <c r="T5" s="97">
        <v>137.9</v>
      </c>
      <c r="U5" s="97">
        <v>46.31</v>
      </c>
      <c r="V5" s="97">
        <v>121.84</v>
      </c>
      <c r="W5" s="97">
        <v>133.31</v>
      </c>
      <c r="X5" s="74">
        <v>162.91</v>
      </c>
    </row>
    <row r="6" spans="1:24" ht="23.25" x14ac:dyDescent="0.5">
      <c r="B6" s="3" t="s">
        <v>10</v>
      </c>
      <c r="D6" s="68" t="s">
        <v>243</v>
      </c>
      <c r="E6" s="20" t="s">
        <v>245</v>
      </c>
      <c r="F6">
        <v>5</v>
      </c>
      <c r="G6">
        <v>5</v>
      </c>
      <c r="H6">
        <v>3</v>
      </c>
      <c r="I6" s="70" t="s">
        <v>69</v>
      </c>
      <c r="J6" s="72" t="s">
        <v>25</v>
      </c>
      <c r="K6" s="96">
        <v>4.0901414999999997</v>
      </c>
      <c r="L6" s="96">
        <v>0.59789800000000004</v>
      </c>
      <c r="M6" s="96">
        <v>0.33618819999999999</v>
      </c>
      <c r="N6" s="96">
        <v>26.471651699999999</v>
      </c>
      <c r="O6" s="96">
        <v>207.54146840000001</v>
      </c>
      <c r="P6" s="96">
        <v>1.2538166000000002</v>
      </c>
      <c r="Q6" s="96">
        <v>2.2957318999999998</v>
      </c>
      <c r="R6" s="96">
        <v>35.099722999999997</v>
      </c>
      <c r="S6" s="96">
        <v>15.525306319999995</v>
      </c>
      <c r="T6" s="97">
        <v>16.829999999999998</v>
      </c>
      <c r="U6" s="97">
        <v>5</v>
      </c>
      <c r="V6" s="97">
        <v>5713.43</v>
      </c>
      <c r="W6" s="97">
        <v>11933.99</v>
      </c>
      <c r="X6" s="74">
        <v>6013.36</v>
      </c>
    </row>
    <row r="7" spans="1:24" ht="23.25" x14ac:dyDescent="0.5">
      <c r="B7" s="3" t="s">
        <v>10</v>
      </c>
      <c r="D7" s="68" t="s">
        <v>243</v>
      </c>
      <c r="E7" s="20" t="s">
        <v>245</v>
      </c>
      <c r="F7">
        <v>6</v>
      </c>
      <c r="G7">
        <v>6</v>
      </c>
      <c r="H7">
        <v>3</v>
      </c>
      <c r="I7" s="70" t="s">
        <v>80</v>
      </c>
      <c r="J7" s="72" t="s">
        <v>25</v>
      </c>
      <c r="K7" s="96">
        <v>80.892463900000024</v>
      </c>
      <c r="L7" s="96">
        <v>13.026225800000001</v>
      </c>
      <c r="M7" s="96">
        <v>25.210186099999994</v>
      </c>
      <c r="N7" s="96">
        <v>36.258719100000022</v>
      </c>
      <c r="O7" s="96">
        <v>97.551194700000025</v>
      </c>
      <c r="P7" s="96">
        <v>85.764227900000009</v>
      </c>
      <c r="Q7" s="96">
        <v>67.296920999999998</v>
      </c>
      <c r="R7" s="96">
        <v>53.296238679999831</v>
      </c>
      <c r="S7" s="96">
        <v>59.249160109999991</v>
      </c>
      <c r="T7" s="97">
        <v>17.32</v>
      </c>
      <c r="U7" s="97">
        <v>24.57</v>
      </c>
      <c r="V7" s="97">
        <v>9.25</v>
      </c>
      <c r="W7" s="97">
        <v>15.69</v>
      </c>
      <c r="X7" s="74">
        <v>63.76</v>
      </c>
    </row>
    <row r="8" spans="1:24" ht="23.25" x14ac:dyDescent="0.5">
      <c r="B8" s="3" t="s">
        <v>10</v>
      </c>
      <c r="D8" s="68" t="s">
        <v>243</v>
      </c>
      <c r="E8" s="20" t="s">
        <v>245</v>
      </c>
      <c r="F8">
        <v>7</v>
      </c>
      <c r="G8">
        <v>7</v>
      </c>
      <c r="H8">
        <v>2</v>
      </c>
      <c r="I8" s="70" t="s">
        <v>81</v>
      </c>
      <c r="J8" s="72" t="s">
        <v>25</v>
      </c>
      <c r="K8" s="96">
        <v>1708.7501526999997</v>
      </c>
      <c r="L8" s="96">
        <v>2758.7903071000001</v>
      </c>
      <c r="M8" s="96">
        <v>2789.3363213000002</v>
      </c>
      <c r="N8" s="96">
        <v>5579.0090412</v>
      </c>
      <c r="O8" s="96">
        <v>4549.4543302999991</v>
      </c>
      <c r="P8" s="96">
        <v>5277.3256904000009</v>
      </c>
      <c r="Q8" s="96">
        <v>5402.0649360100006</v>
      </c>
      <c r="R8" s="96">
        <v>8736.7887442700012</v>
      </c>
      <c r="S8" s="96">
        <v>6324.3765897039993</v>
      </c>
      <c r="T8" s="97" t="s">
        <v>131</v>
      </c>
      <c r="U8" s="97" t="s">
        <v>132</v>
      </c>
      <c r="V8" s="97" t="s">
        <v>133</v>
      </c>
      <c r="W8" s="97" t="s">
        <v>134</v>
      </c>
      <c r="X8" s="74">
        <v>12769.02</v>
      </c>
    </row>
    <row r="9" spans="1:24" ht="23.25" x14ac:dyDescent="0.5">
      <c r="B9" s="3" t="s">
        <v>10</v>
      </c>
      <c r="D9" s="68" t="s">
        <v>243</v>
      </c>
      <c r="E9" s="20" t="s">
        <v>245</v>
      </c>
      <c r="F9">
        <v>8</v>
      </c>
      <c r="G9">
        <v>8</v>
      </c>
      <c r="H9">
        <v>7</v>
      </c>
      <c r="I9" s="70" t="s">
        <v>71</v>
      </c>
      <c r="J9" s="72" t="s">
        <v>25</v>
      </c>
      <c r="K9" s="96">
        <v>71.781821099999988</v>
      </c>
      <c r="L9" s="96">
        <v>62.557834600000007</v>
      </c>
      <c r="M9" s="96">
        <v>96.963484100000002</v>
      </c>
      <c r="N9" s="96">
        <v>98.02527640000001</v>
      </c>
      <c r="O9" s="96">
        <v>105.9636582</v>
      </c>
      <c r="P9" s="96">
        <v>158.55706529999995</v>
      </c>
      <c r="Q9" s="96">
        <v>570.34589608999988</v>
      </c>
      <c r="R9" s="96">
        <v>265.84639336000004</v>
      </c>
      <c r="S9" s="96">
        <v>251.08107423999991</v>
      </c>
      <c r="T9" s="97">
        <v>134.99</v>
      </c>
      <c r="U9" s="97">
        <v>263.56</v>
      </c>
      <c r="V9" s="97">
        <v>452.53</v>
      </c>
      <c r="W9" s="97">
        <v>350.38</v>
      </c>
      <c r="X9" s="74">
        <v>662.38</v>
      </c>
    </row>
    <row r="10" spans="1:24" ht="23.25" x14ac:dyDescent="0.5">
      <c r="B10" s="3" t="s">
        <v>10</v>
      </c>
      <c r="D10" s="68" t="s">
        <v>243</v>
      </c>
      <c r="E10" s="20" t="s">
        <v>245</v>
      </c>
      <c r="F10">
        <v>9</v>
      </c>
      <c r="G10">
        <v>9</v>
      </c>
      <c r="H10">
        <v>7</v>
      </c>
      <c r="I10" s="70" t="s">
        <v>82</v>
      </c>
      <c r="J10" s="72" t="s">
        <v>25</v>
      </c>
      <c r="K10" s="96">
        <v>89.904266000000007</v>
      </c>
      <c r="L10" s="96">
        <v>28.137703600000002</v>
      </c>
      <c r="M10" s="96">
        <v>69.297196499999998</v>
      </c>
      <c r="N10" s="96">
        <v>149.20309829999997</v>
      </c>
      <c r="O10" s="96">
        <v>291.78442919999992</v>
      </c>
      <c r="P10" s="96">
        <v>329.84503360000002</v>
      </c>
      <c r="Q10" s="96">
        <v>841.71363111999983</v>
      </c>
      <c r="R10" s="96">
        <v>1289.73240764</v>
      </c>
      <c r="S10" s="96">
        <v>708.77886079399991</v>
      </c>
      <c r="T10" s="97">
        <v>627.42999999999995</v>
      </c>
      <c r="U10" s="97">
        <v>824.57</v>
      </c>
      <c r="V10" s="97">
        <v>806.83</v>
      </c>
      <c r="W10" s="97">
        <v>813.79</v>
      </c>
      <c r="X10" s="74">
        <v>1181.24</v>
      </c>
    </row>
    <row r="11" spans="1:24" ht="23.25" x14ac:dyDescent="0.5">
      <c r="B11" s="3" t="s">
        <v>10</v>
      </c>
      <c r="D11" s="68" t="s">
        <v>243</v>
      </c>
      <c r="E11" s="20" t="s">
        <v>245</v>
      </c>
      <c r="F11">
        <v>10</v>
      </c>
      <c r="G11">
        <v>10</v>
      </c>
      <c r="H11">
        <v>7</v>
      </c>
      <c r="I11" s="70" t="s">
        <v>135</v>
      </c>
      <c r="J11" s="72" t="s">
        <v>25</v>
      </c>
      <c r="K11" s="96">
        <v>518.50378610000007</v>
      </c>
      <c r="L11" s="96">
        <v>517.97173550000002</v>
      </c>
      <c r="M11" s="96">
        <v>1170.7255053000001</v>
      </c>
      <c r="N11" s="96">
        <v>2984.3658576000012</v>
      </c>
      <c r="O11" s="96">
        <v>1087.2043098999998</v>
      </c>
      <c r="P11" s="96">
        <v>1934.3163075000009</v>
      </c>
      <c r="Q11" s="96">
        <v>2196.9230702999998</v>
      </c>
      <c r="R11" s="96">
        <v>3566.2476578699989</v>
      </c>
      <c r="S11" s="96">
        <v>2898.5155150000001</v>
      </c>
      <c r="T11" s="97" t="s">
        <v>136</v>
      </c>
      <c r="U11" s="97" t="s">
        <v>137</v>
      </c>
      <c r="V11" s="97" t="s">
        <v>138</v>
      </c>
      <c r="W11" s="97" t="s">
        <v>139</v>
      </c>
      <c r="X11" s="74">
        <v>3834.2</v>
      </c>
    </row>
    <row r="12" spans="1:24" ht="23.25" x14ac:dyDescent="0.5">
      <c r="B12" s="3" t="s">
        <v>10</v>
      </c>
      <c r="D12" s="68" t="s">
        <v>243</v>
      </c>
      <c r="E12" s="20" t="s">
        <v>245</v>
      </c>
      <c r="F12">
        <v>11</v>
      </c>
      <c r="G12">
        <v>11</v>
      </c>
      <c r="H12">
        <v>7</v>
      </c>
      <c r="I12" s="70" t="s">
        <v>140</v>
      </c>
      <c r="J12" s="72" t="s">
        <v>25</v>
      </c>
      <c r="K12" s="96">
        <v>495.47731750000003</v>
      </c>
      <c r="L12" s="96">
        <v>875.52703900000017</v>
      </c>
      <c r="M12" s="96">
        <v>331.16749680000009</v>
      </c>
      <c r="N12" s="96">
        <v>281.32547799999998</v>
      </c>
      <c r="O12" s="96">
        <v>192.31729809999993</v>
      </c>
      <c r="P12" s="96">
        <v>382.62867180000001</v>
      </c>
      <c r="Q12" s="96">
        <v>186.6117237</v>
      </c>
      <c r="R12" s="96">
        <v>315.52938439999997</v>
      </c>
      <c r="S12" s="96">
        <v>395.84656686999989</v>
      </c>
      <c r="T12" s="97">
        <v>494.89</v>
      </c>
      <c r="U12" s="97">
        <v>752.47</v>
      </c>
      <c r="V12" s="97" t="s">
        <v>141</v>
      </c>
      <c r="W12" s="97">
        <v>898.64</v>
      </c>
      <c r="X12" s="74">
        <v>1286.2</v>
      </c>
    </row>
    <row r="13" spans="1:24" ht="23.25" x14ac:dyDescent="0.5">
      <c r="B13" s="3" t="s">
        <v>10</v>
      </c>
      <c r="D13" s="68" t="s">
        <v>243</v>
      </c>
      <c r="E13" s="20" t="s">
        <v>245</v>
      </c>
      <c r="F13">
        <v>12</v>
      </c>
      <c r="G13">
        <v>12</v>
      </c>
      <c r="H13">
        <v>7</v>
      </c>
      <c r="I13" s="70" t="s">
        <v>142</v>
      </c>
      <c r="J13" s="72" t="s">
        <v>25</v>
      </c>
      <c r="K13" s="96">
        <v>44.253885200000006</v>
      </c>
      <c r="L13" s="96">
        <v>25.823817000000005</v>
      </c>
      <c r="M13" s="96">
        <v>8.0599015000000005</v>
      </c>
      <c r="N13" s="96">
        <v>15.575153500000001</v>
      </c>
      <c r="O13" s="96">
        <v>129.29608770000002</v>
      </c>
      <c r="P13" s="96">
        <v>13.8286234</v>
      </c>
      <c r="Q13" s="96">
        <v>34.827615399999999</v>
      </c>
      <c r="R13" s="96">
        <v>108.7841085</v>
      </c>
      <c r="S13" s="96">
        <v>75.918279080000019</v>
      </c>
      <c r="T13" s="97">
        <v>38.47</v>
      </c>
      <c r="U13" s="97">
        <v>106.7</v>
      </c>
      <c r="V13" s="97">
        <v>172.63</v>
      </c>
      <c r="W13" s="97">
        <v>201.34</v>
      </c>
      <c r="X13" s="74">
        <v>514.32000000000005</v>
      </c>
    </row>
    <row r="14" spans="1:24" ht="23.25" x14ac:dyDescent="0.5">
      <c r="B14" s="3" t="s">
        <v>10</v>
      </c>
      <c r="D14" s="68" t="s">
        <v>243</v>
      </c>
      <c r="E14" s="20" t="s">
        <v>245</v>
      </c>
      <c r="F14">
        <v>13</v>
      </c>
      <c r="G14">
        <v>13</v>
      </c>
      <c r="H14">
        <v>7</v>
      </c>
      <c r="I14" s="70" t="s">
        <v>143</v>
      </c>
      <c r="J14" s="72" t="s">
        <v>25</v>
      </c>
      <c r="K14" s="96">
        <v>150.95689859999996</v>
      </c>
      <c r="L14" s="96">
        <v>1072.1155590000003</v>
      </c>
      <c r="M14" s="96">
        <v>1013.9267155</v>
      </c>
      <c r="N14" s="96">
        <v>1476.5964164999996</v>
      </c>
      <c r="O14" s="96">
        <v>2670.7587523000002</v>
      </c>
      <c r="P14" s="96">
        <v>2288.0549815999998</v>
      </c>
      <c r="Q14" s="96">
        <v>1380.6051074000004</v>
      </c>
      <c r="R14" s="96">
        <v>1293.16879402</v>
      </c>
      <c r="S14" s="96">
        <v>1480.5891443100002</v>
      </c>
      <c r="T14" s="97" t="s">
        <v>144</v>
      </c>
      <c r="U14" s="97">
        <v>591.27</v>
      </c>
      <c r="V14" s="97">
        <v>438.36</v>
      </c>
      <c r="W14" s="97">
        <v>124.93</v>
      </c>
      <c r="X14" s="74">
        <v>2658.32</v>
      </c>
    </row>
    <row r="15" spans="1:24" ht="23.25" x14ac:dyDescent="0.5">
      <c r="B15" s="3" t="s">
        <v>10</v>
      </c>
      <c r="D15" s="68" t="s">
        <v>243</v>
      </c>
      <c r="E15" s="20" t="s">
        <v>245</v>
      </c>
      <c r="F15">
        <v>14</v>
      </c>
      <c r="G15">
        <v>14</v>
      </c>
      <c r="H15">
        <v>7</v>
      </c>
      <c r="I15" s="70" t="s">
        <v>83</v>
      </c>
      <c r="J15" s="72" t="s">
        <v>25</v>
      </c>
      <c r="K15" s="96">
        <v>337.87217819999984</v>
      </c>
      <c r="L15" s="96">
        <v>176.65661839999913</v>
      </c>
      <c r="M15" s="96">
        <v>99.196021599999909</v>
      </c>
      <c r="N15" s="96">
        <v>573.91776089999871</v>
      </c>
      <c r="O15" s="96">
        <v>72.129794899999624</v>
      </c>
      <c r="P15" s="96">
        <v>170.0950071999998</v>
      </c>
      <c r="Q15" s="96">
        <v>191.03789200000097</v>
      </c>
      <c r="R15" s="96">
        <v>1897.4799984800015</v>
      </c>
      <c r="S15" s="96">
        <v>513.64714940999886</v>
      </c>
      <c r="T15" s="97" t="s">
        <v>145</v>
      </c>
      <c r="U15" s="97">
        <v>991.32</v>
      </c>
      <c r="V15" s="97" t="s">
        <v>146</v>
      </c>
      <c r="W15" s="97" t="s">
        <v>147</v>
      </c>
      <c r="X15" s="74">
        <v>2632.35</v>
      </c>
    </row>
    <row r="16" spans="1:24" ht="23.25" x14ac:dyDescent="0.5">
      <c r="B16" s="3" t="s">
        <v>10</v>
      </c>
      <c r="D16" s="68" t="s">
        <v>243</v>
      </c>
      <c r="E16" s="20" t="s">
        <v>245</v>
      </c>
      <c r="F16">
        <v>15</v>
      </c>
      <c r="G16">
        <v>15</v>
      </c>
      <c r="H16">
        <v>2</v>
      </c>
      <c r="I16" s="70" t="s">
        <v>84</v>
      </c>
      <c r="J16" s="72" t="s">
        <v>25</v>
      </c>
      <c r="K16" s="96">
        <v>6552.356400200003</v>
      </c>
      <c r="L16" s="96">
        <v>1752.0058135000004</v>
      </c>
      <c r="M16" s="96">
        <v>247.8206295</v>
      </c>
      <c r="N16" s="96">
        <v>502.21602520000079</v>
      </c>
      <c r="O16" s="96">
        <v>1182.7104115000009</v>
      </c>
      <c r="P16" s="96">
        <v>592.05638659999943</v>
      </c>
      <c r="Q16" s="96">
        <v>556.73447809999948</v>
      </c>
      <c r="R16" s="96">
        <v>1232.8128991399994</v>
      </c>
      <c r="S16" s="96">
        <v>1282.2688673099999</v>
      </c>
      <c r="T16" s="97" t="s">
        <v>148</v>
      </c>
      <c r="U16" s="97">
        <v>847.57</v>
      </c>
      <c r="V16" s="97" t="s">
        <v>149</v>
      </c>
      <c r="W16" s="97" t="s">
        <v>150</v>
      </c>
      <c r="X16" s="74">
        <v>4934.6000000000004</v>
      </c>
    </row>
    <row r="17" spans="2:24" ht="23.25" x14ac:dyDescent="0.5">
      <c r="B17" s="3" t="s">
        <v>10</v>
      </c>
      <c r="D17" s="68" t="s">
        <v>243</v>
      </c>
      <c r="E17" s="20" t="s">
        <v>245</v>
      </c>
      <c r="F17">
        <v>16</v>
      </c>
      <c r="G17">
        <v>16</v>
      </c>
      <c r="H17">
        <v>1</v>
      </c>
      <c r="I17" s="70" t="s">
        <v>85</v>
      </c>
      <c r="J17" s="72" t="s">
        <v>25</v>
      </c>
      <c r="K17" s="96">
        <v>28154.351645699997</v>
      </c>
      <c r="L17" s="96">
        <v>32350.195128200012</v>
      </c>
      <c r="M17" s="96">
        <v>39926.324599700012</v>
      </c>
      <c r="N17" s="96">
        <v>25384.316029100009</v>
      </c>
      <c r="O17" s="96">
        <v>22589.555037100003</v>
      </c>
      <c r="P17" s="96">
        <v>26824.468121800004</v>
      </c>
      <c r="Q17" s="96">
        <v>31993.382353600005</v>
      </c>
      <c r="R17" s="96">
        <v>33529.636049629997</v>
      </c>
      <c r="S17" s="96">
        <v>38872.670946870021</v>
      </c>
      <c r="T17" s="97">
        <v>43974.86</v>
      </c>
      <c r="U17" s="97">
        <v>61868.43</v>
      </c>
      <c r="V17" s="97" t="s">
        <v>151</v>
      </c>
      <c r="W17" s="97" t="s">
        <v>152</v>
      </c>
      <c r="X17" s="74">
        <v>53615.839999999997</v>
      </c>
    </row>
    <row r="18" spans="2:24" ht="23.25" x14ac:dyDescent="0.5">
      <c r="B18" s="3" t="s">
        <v>10</v>
      </c>
      <c r="D18" s="68" t="s">
        <v>243</v>
      </c>
      <c r="E18" s="20" t="s">
        <v>245</v>
      </c>
      <c r="F18">
        <v>17</v>
      </c>
      <c r="G18">
        <v>17</v>
      </c>
      <c r="H18">
        <v>16</v>
      </c>
      <c r="I18" s="70" t="s">
        <v>68</v>
      </c>
      <c r="J18" s="72" t="s">
        <v>25</v>
      </c>
      <c r="K18" s="96">
        <v>3631.006897799999</v>
      </c>
      <c r="L18" s="96">
        <v>6974.7499706000008</v>
      </c>
      <c r="M18" s="96">
        <v>3165.3750423000006</v>
      </c>
      <c r="N18" s="96">
        <v>2734.2354375</v>
      </c>
      <c r="O18" s="96">
        <v>2996.3623038999999</v>
      </c>
      <c r="P18" s="96">
        <v>4215.0452072999997</v>
      </c>
      <c r="Q18" s="96">
        <v>5100.2274861999995</v>
      </c>
      <c r="R18" s="96">
        <v>6644.8821482600006</v>
      </c>
      <c r="S18" s="96">
        <v>6643.5443759999998</v>
      </c>
      <c r="T18" s="97" t="s">
        <v>153</v>
      </c>
      <c r="U18" s="97" t="s">
        <v>154</v>
      </c>
      <c r="V18" s="97" t="s">
        <v>155</v>
      </c>
      <c r="W18" s="97" t="s">
        <v>156</v>
      </c>
      <c r="X18" s="74">
        <v>3960.93</v>
      </c>
    </row>
    <row r="19" spans="2:24" ht="23.25" x14ac:dyDescent="0.5">
      <c r="B19" s="3" t="s">
        <v>10</v>
      </c>
      <c r="D19" s="68" t="s">
        <v>243</v>
      </c>
      <c r="E19" s="20" t="s">
        <v>245</v>
      </c>
      <c r="F19">
        <v>18</v>
      </c>
      <c r="G19">
        <v>18</v>
      </c>
      <c r="H19">
        <v>16</v>
      </c>
      <c r="I19" s="70" t="s">
        <v>72</v>
      </c>
      <c r="J19" s="72" t="s">
        <v>25</v>
      </c>
      <c r="K19" s="96">
        <v>23951.5914113</v>
      </c>
      <c r="L19" s="96">
        <v>24115.48895380001</v>
      </c>
      <c r="M19" s="96">
        <v>35561.808625699996</v>
      </c>
      <c r="N19" s="96">
        <v>21165.998505100008</v>
      </c>
      <c r="O19" s="96">
        <v>17141.092127900003</v>
      </c>
      <c r="P19" s="96">
        <v>20715.236694800009</v>
      </c>
      <c r="Q19" s="96">
        <v>25090.061150400008</v>
      </c>
      <c r="R19" s="96">
        <v>23691.075285249997</v>
      </c>
      <c r="S19" s="96">
        <v>29170.38123502001</v>
      </c>
      <c r="T19" s="97" t="s">
        <v>157</v>
      </c>
      <c r="U19" s="97" t="s">
        <v>158</v>
      </c>
      <c r="V19" s="97" t="s">
        <v>159</v>
      </c>
      <c r="W19" s="97" t="s">
        <v>160</v>
      </c>
      <c r="X19" s="74">
        <v>44400.62</v>
      </c>
    </row>
    <row r="20" spans="2:24" ht="23.25" x14ac:dyDescent="0.5">
      <c r="B20" s="3" t="s">
        <v>10</v>
      </c>
      <c r="D20" s="68" t="s">
        <v>243</v>
      </c>
      <c r="E20" s="20" t="s">
        <v>245</v>
      </c>
      <c r="F20">
        <v>19</v>
      </c>
      <c r="G20">
        <v>19</v>
      </c>
      <c r="H20">
        <v>16</v>
      </c>
      <c r="I20" s="70" t="s">
        <v>73</v>
      </c>
      <c r="J20" s="72" t="s">
        <v>25</v>
      </c>
      <c r="K20" s="96">
        <v>0.49512600000000001</v>
      </c>
      <c r="L20" s="96">
        <v>3.7041675000000001</v>
      </c>
      <c r="M20" s="96">
        <v>0</v>
      </c>
      <c r="N20" s="96">
        <v>17.853311999999999</v>
      </c>
      <c r="O20" s="96">
        <v>24.065552499999999</v>
      </c>
      <c r="P20" s="96">
        <v>18.470986700000001</v>
      </c>
      <c r="Q20" s="96">
        <v>75.710214900000011</v>
      </c>
      <c r="R20" s="96">
        <v>8.8774999999999995</v>
      </c>
      <c r="S20" s="96">
        <v>5.0972340000000003</v>
      </c>
      <c r="T20" s="97">
        <v>81.38</v>
      </c>
      <c r="U20" s="97">
        <v>10.69</v>
      </c>
      <c r="V20" s="97">
        <v>17.97</v>
      </c>
      <c r="W20" s="97">
        <v>272.67</v>
      </c>
      <c r="X20" s="74">
        <v>628.02</v>
      </c>
    </row>
    <row r="21" spans="2:24" ht="23.25" x14ac:dyDescent="0.5">
      <c r="B21" s="3" t="s">
        <v>10</v>
      </c>
      <c r="D21" s="68" t="s">
        <v>243</v>
      </c>
      <c r="E21" s="20" t="s">
        <v>245</v>
      </c>
      <c r="F21">
        <v>20</v>
      </c>
      <c r="G21">
        <v>20</v>
      </c>
      <c r="H21">
        <v>16</v>
      </c>
      <c r="I21" s="70" t="s">
        <v>88</v>
      </c>
      <c r="J21" s="72" t="s">
        <v>25</v>
      </c>
      <c r="K21" s="96">
        <v>0.3651875</v>
      </c>
      <c r="L21" s="96">
        <v>0.72535630000000006</v>
      </c>
      <c r="M21" s="96">
        <v>12.6542893</v>
      </c>
      <c r="N21" s="96">
        <v>5.6603894000000006</v>
      </c>
      <c r="O21" s="96">
        <v>7.6379580999999996</v>
      </c>
      <c r="P21" s="96">
        <v>8.3736963000000006</v>
      </c>
      <c r="Q21" s="96">
        <v>0.67539539999999998</v>
      </c>
      <c r="R21" s="96">
        <v>87.296816019999994</v>
      </c>
      <c r="S21" s="96">
        <v>17.758079800000001</v>
      </c>
      <c r="T21" s="97">
        <v>15.24</v>
      </c>
      <c r="U21" s="97">
        <v>0.88</v>
      </c>
      <c r="V21" s="97">
        <v>94.17</v>
      </c>
      <c r="W21" s="97">
        <v>106.51</v>
      </c>
      <c r="X21" s="74">
        <v>18.600000000000001</v>
      </c>
    </row>
    <row r="22" spans="2:24" ht="23.25" x14ac:dyDescent="0.5">
      <c r="B22" s="3" t="s">
        <v>10</v>
      </c>
      <c r="D22" s="68" t="s">
        <v>243</v>
      </c>
      <c r="E22" s="20" t="s">
        <v>245</v>
      </c>
      <c r="F22">
        <v>21</v>
      </c>
      <c r="G22">
        <v>21</v>
      </c>
      <c r="H22">
        <v>16</v>
      </c>
      <c r="I22" s="70" t="s">
        <v>67</v>
      </c>
      <c r="J22" s="72" t="s">
        <v>25</v>
      </c>
      <c r="K22" s="96">
        <v>114.31808410000001</v>
      </c>
      <c r="L22" s="96">
        <v>426.2342792</v>
      </c>
      <c r="M22" s="96">
        <v>293.03994219999998</v>
      </c>
      <c r="N22" s="96">
        <v>278.48518850000005</v>
      </c>
      <c r="O22" s="96">
        <v>435.73816290000002</v>
      </c>
      <c r="P22" s="96">
        <v>113.38419580000001</v>
      </c>
      <c r="Q22" s="96">
        <v>20.722155100000002</v>
      </c>
      <c r="R22" s="96">
        <v>174.14233668</v>
      </c>
      <c r="S22" s="96">
        <v>48.915292260000001</v>
      </c>
      <c r="T22" s="97">
        <v>46.2</v>
      </c>
      <c r="U22" s="97">
        <v>65.52</v>
      </c>
      <c r="V22" s="97">
        <v>139.41</v>
      </c>
      <c r="W22" s="97">
        <v>107.17</v>
      </c>
      <c r="X22" s="74">
        <v>216.01</v>
      </c>
    </row>
    <row r="23" spans="2:24" ht="23.25" x14ac:dyDescent="0.5">
      <c r="B23" s="3" t="s">
        <v>10</v>
      </c>
      <c r="D23" s="68" t="s">
        <v>243</v>
      </c>
      <c r="E23" s="20" t="s">
        <v>245</v>
      </c>
      <c r="F23">
        <v>22</v>
      </c>
      <c r="G23">
        <v>22</v>
      </c>
      <c r="H23">
        <v>16</v>
      </c>
      <c r="I23" s="70" t="s">
        <v>74</v>
      </c>
      <c r="J23" s="72" t="s">
        <v>25</v>
      </c>
      <c r="K23" s="96">
        <v>12.5410366</v>
      </c>
      <c r="L23" s="96">
        <v>19.821940600000001</v>
      </c>
      <c r="M23" s="96">
        <v>20.562927300000002</v>
      </c>
      <c r="N23" s="96">
        <v>0</v>
      </c>
      <c r="O23" s="96">
        <v>0.79094189999999998</v>
      </c>
      <c r="P23" s="96">
        <v>2.2843397999999997</v>
      </c>
      <c r="Q23" s="96">
        <v>5.0000000000000001E-3</v>
      </c>
      <c r="R23" s="96">
        <v>111.17127593000001</v>
      </c>
      <c r="S23" s="96">
        <v>5.4812437200000002</v>
      </c>
      <c r="T23" s="97"/>
      <c r="U23" s="97">
        <v>1.53</v>
      </c>
      <c r="V23" s="97">
        <v>1.71</v>
      </c>
      <c r="W23" s="97">
        <v>105.23</v>
      </c>
      <c r="X23" s="74">
        <v>117.28</v>
      </c>
    </row>
    <row r="24" spans="2:24" ht="23.25" x14ac:dyDescent="0.5">
      <c r="B24" s="3" t="s">
        <v>10</v>
      </c>
      <c r="D24" s="68" t="s">
        <v>243</v>
      </c>
      <c r="E24" s="20" t="s">
        <v>245</v>
      </c>
      <c r="F24">
        <v>23</v>
      </c>
      <c r="G24">
        <v>23</v>
      </c>
      <c r="H24">
        <v>16</v>
      </c>
      <c r="I24" s="70" t="s">
        <v>66</v>
      </c>
      <c r="J24" s="72" t="s">
        <v>25</v>
      </c>
      <c r="K24" s="96">
        <v>169.0594657</v>
      </c>
      <c r="L24" s="96">
        <v>174.95622749999998</v>
      </c>
      <c r="M24" s="96">
        <v>27.945503900000002</v>
      </c>
      <c r="N24" s="96">
        <v>66.041097500000006</v>
      </c>
      <c r="O24" s="96">
        <v>28.560932299999997</v>
      </c>
      <c r="P24" s="96">
        <v>75.721823999999984</v>
      </c>
      <c r="Q24" s="96">
        <v>13.6805938</v>
      </c>
      <c r="R24" s="96">
        <v>60.649229180000006</v>
      </c>
      <c r="S24" s="96">
        <v>61.271205049999999</v>
      </c>
      <c r="T24" s="97">
        <v>12.36</v>
      </c>
      <c r="U24" s="97">
        <v>20.83</v>
      </c>
      <c r="V24" s="97">
        <v>3.28</v>
      </c>
      <c r="W24" s="97">
        <v>0.33</v>
      </c>
      <c r="X24" s="74">
        <v>1.31</v>
      </c>
    </row>
    <row r="25" spans="2:24" ht="23.25" x14ac:dyDescent="0.5">
      <c r="B25" s="3" t="s">
        <v>10</v>
      </c>
      <c r="D25" s="68" t="s">
        <v>243</v>
      </c>
      <c r="E25" s="20" t="s">
        <v>245</v>
      </c>
      <c r="F25">
        <v>24</v>
      </c>
      <c r="G25">
        <v>24</v>
      </c>
      <c r="H25">
        <v>16</v>
      </c>
      <c r="I25" s="70" t="s">
        <v>86</v>
      </c>
      <c r="J25" s="72" t="s">
        <v>25</v>
      </c>
      <c r="K25" s="96">
        <v>0.3217566</v>
      </c>
      <c r="L25" s="96">
        <v>2.8460527999999998</v>
      </c>
      <c r="M25" s="96">
        <v>3.6900000000000002E-2</v>
      </c>
      <c r="N25" s="96">
        <v>3.3332567000000002</v>
      </c>
      <c r="O25" s="96">
        <v>2.0880614</v>
      </c>
      <c r="P25" s="96">
        <v>1.9952970000000001</v>
      </c>
      <c r="Q25" s="96">
        <v>1.7151153000000001</v>
      </c>
      <c r="R25" s="96">
        <v>1.5120000000000001E-3</v>
      </c>
      <c r="S25" s="96">
        <v>1546.3805464000002</v>
      </c>
      <c r="T25" s="97" t="s">
        <v>161</v>
      </c>
      <c r="U25" s="97" t="s">
        <v>162</v>
      </c>
      <c r="V25" s="97" t="s">
        <v>163</v>
      </c>
      <c r="W25" s="97" t="s">
        <v>164</v>
      </c>
      <c r="X25" s="74">
        <v>2924.76</v>
      </c>
    </row>
    <row r="26" spans="2:24" ht="23.25" x14ac:dyDescent="0.5">
      <c r="B26" s="3" t="s">
        <v>10</v>
      </c>
      <c r="D26" s="68" t="s">
        <v>243</v>
      </c>
      <c r="E26" s="20" t="s">
        <v>245</v>
      </c>
      <c r="F26">
        <v>25</v>
      </c>
      <c r="G26">
        <v>25</v>
      </c>
      <c r="H26">
        <v>16</v>
      </c>
      <c r="I26" s="70" t="s">
        <v>241</v>
      </c>
      <c r="J26" s="72" t="s">
        <v>25</v>
      </c>
      <c r="K26" s="96">
        <v>42.730697599999992</v>
      </c>
      <c r="L26" s="96">
        <v>258.49045839999997</v>
      </c>
      <c r="M26" s="96">
        <v>320.68885830000005</v>
      </c>
      <c r="N26" s="96">
        <v>485.85449839999995</v>
      </c>
      <c r="O26" s="96">
        <v>890.84588480000002</v>
      </c>
      <c r="P26" s="96">
        <v>902.49477830000012</v>
      </c>
      <c r="Q26" s="96">
        <v>629.93355599999995</v>
      </c>
      <c r="R26" s="96">
        <v>988.8306493</v>
      </c>
      <c r="S26" s="96">
        <v>836.47195910000005</v>
      </c>
      <c r="T26" s="97">
        <v>635.29</v>
      </c>
      <c r="U26" s="97">
        <v>791.42</v>
      </c>
      <c r="V26" s="97" t="s">
        <v>165</v>
      </c>
      <c r="W26" s="97">
        <v>729.63</v>
      </c>
      <c r="X26" s="74">
        <v>924.88</v>
      </c>
    </row>
    <row r="27" spans="2:24" ht="23.25" x14ac:dyDescent="0.5">
      <c r="B27" s="3" t="s">
        <v>10</v>
      </c>
      <c r="D27" s="68" t="s">
        <v>243</v>
      </c>
      <c r="E27" s="20" t="s">
        <v>245</v>
      </c>
      <c r="F27">
        <v>26</v>
      </c>
      <c r="G27">
        <v>26</v>
      </c>
      <c r="H27">
        <v>16</v>
      </c>
      <c r="I27" s="70" t="s">
        <v>87</v>
      </c>
      <c r="J27" s="72" t="s">
        <v>25</v>
      </c>
      <c r="K27" s="96">
        <v>7.3921398999999992</v>
      </c>
      <c r="L27" s="96">
        <v>156.10176799999999</v>
      </c>
      <c r="M27" s="96">
        <v>294.08084090000011</v>
      </c>
      <c r="N27" s="96">
        <v>306.2681730999999</v>
      </c>
      <c r="O27" s="96">
        <v>865.55734580000012</v>
      </c>
      <c r="P27" s="96">
        <v>600.33319070000016</v>
      </c>
      <c r="Q27" s="96">
        <v>1011.7140277999999</v>
      </c>
      <c r="R27" s="96">
        <v>639.26936387000001</v>
      </c>
      <c r="S27" s="96">
        <v>507.12607643000001</v>
      </c>
      <c r="T27" s="97">
        <v>158.56</v>
      </c>
      <c r="U27" s="97">
        <v>80.36</v>
      </c>
      <c r="V27" s="97">
        <v>139.21</v>
      </c>
      <c r="W27" s="97">
        <v>94.08</v>
      </c>
      <c r="X27" s="74">
        <v>60.32</v>
      </c>
    </row>
    <row r="28" spans="2:24" ht="23.25" x14ac:dyDescent="0.5">
      <c r="B28" s="3" t="s">
        <v>10</v>
      </c>
      <c r="D28" s="68" t="s">
        <v>243</v>
      </c>
      <c r="E28" s="20" t="s">
        <v>245</v>
      </c>
      <c r="F28">
        <v>27</v>
      </c>
      <c r="G28">
        <v>27</v>
      </c>
      <c r="H28">
        <v>16</v>
      </c>
      <c r="I28" s="70" t="s">
        <v>222</v>
      </c>
      <c r="J28" s="72" t="s">
        <v>25</v>
      </c>
      <c r="K28" s="96">
        <v>49.236739700000001</v>
      </c>
      <c r="L28" s="96">
        <v>13.545122099999999</v>
      </c>
      <c r="M28" s="96">
        <v>33.5252713</v>
      </c>
      <c r="N28" s="96">
        <v>98.757376500000021</v>
      </c>
      <c r="O28" s="96">
        <v>178.33150029999999</v>
      </c>
      <c r="P28" s="96">
        <v>106.16933829999999</v>
      </c>
      <c r="Q28" s="96">
        <v>42.714140600000007</v>
      </c>
      <c r="R28" s="96">
        <v>30.852708920000001</v>
      </c>
      <c r="S28" s="96">
        <v>10.084826</v>
      </c>
      <c r="T28" s="97">
        <v>7.76</v>
      </c>
      <c r="U28" s="97">
        <v>2.8</v>
      </c>
      <c r="V28" s="97">
        <v>35.619999999999997</v>
      </c>
      <c r="W28" s="97">
        <v>47.83</v>
      </c>
      <c r="X28" s="74">
        <v>83.84</v>
      </c>
    </row>
    <row r="29" spans="2:24" ht="23.25" x14ac:dyDescent="0.5">
      <c r="B29" s="3" t="s">
        <v>10</v>
      </c>
      <c r="D29" s="68" t="s">
        <v>243</v>
      </c>
      <c r="E29" s="20" t="s">
        <v>245</v>
      </c>
      <c r="F29">
        <v>28</v>
      </c>
      <c r="G29">
        <v>28</v>
      </c>
      <c r="H29">
        <v>16</v>
      </c>
      <c r="I29" s="70" t="s">
        <v>89</v>
      </c>
      <c r="J29" s="72" t="s">
        <v>25</v>
      </c>
      <c r="K29" s="96">
        <v>175.29310290000151</v>
      </c>
      <c r="L29" s="96">
        <v>203.53083140000535</v>
      </c>
      <c r="M29" s="96">
        <v>196.60639850000001</v>
      </c>
      <c r="N29" s="96">
        <v>221.82879440000153</v>
      </c>
      <c r="O29" s="96">
        <v>18.484265299999237</v>
      </c>
      <c r="P29" s="96">
        <v>64.958572799995423</v>
      </c>
      <c r="Q29" s="96">
        <v>6.2235180999984738</v>
      </c>
      <c r="R29" s="96">
        <v>1092.5872242200012</v>
      </c>
      <c r="S29" s="96">
        <v>20.158873090003969</v>
      </c>
      <c r="T29" s="97">
        <v>13.06</v>
      </c>
      <c r="U29" s="97">
        <v>5.64</v>
      </c>
      <c r="V29" s="97">
        <v>159.91</v>
      </c>
      <c r="W29" s="97">
        <v>223.89</v>
      </c>
      <c r="X29" s="74">
        <v>279.26</v>
      </c>
    </row>
    <row r="30" spans="2:24" ht="23.25" x14ac:dyDescent="0.5">
      <c r="B30" s="3" t="s">
        <v>10</v>
      </c>
      <c r="D30" s="68" t="s">
        <v>243</v>
      </c>
      <c r="E30" s="20" t="s">
        <v>245</v>
      </c>
      <c r="F30">
        <v>29</v>
      </c>
      <c r="G30">
        <v>29</v>
      </c>
      <c r="H30">
        <v>1</v>
      </c>
      <c r="I30" s="70" t="s">
        <v>90</v>
      </c>
      <c r="J30" s="72" t="s">
        <v>25</v>
      </c>
      <c r="K30" s="96">
        <v>1776.1093028</v>
      </c>
      <c r="L30" s="96">
        <v>2246.1372073000002</v>
      </c>
      <c r="M30" s="96">
        <v>2069.5465766000002</v>
      </c>
      <c r="N30" s="96">
        <v>1833.0614812999995</v>
      </c>
      <c r="O30" s="96">
        <v>1555.1903315999998</v>
      </c>
      <c r="P30" s="96">
        <v>1405.3088084999995</v>
      </c>
      <c r="Q30" s="96">
        <v>1870.108248400001</v>
      </c>
      <c r="R30" s="96">
        <v>2819.0284131900003</v>
      </c>
      <c r="S30" s="96">
        <v>1938.81660192</v>
      </c>
      <c r="T30" s="97">
        <v>189.77</v>
      </c>
      <c r="U30" s="97">
        <v>15.54</v>
      </c>
      <c r="V30" s="97" t="s">
        <v>166</v>
      </c>
      <c r="W30" s="97" t="s">
        <v>167</v>
      </c>
      <c r="X30" s="74">
        <v>5998.07</v>
      </c>
    </row>
    <row r="31" spans="2:24" ht="23.25" x14ac:dyDescent="0.5">
      <c r="B31" s="3" t="s">
        <v>10</v>
      </c>
      <c r="D31" s="68" t="s">
        <v>243</v>
      </c>
      <c r="E31" s="20" t="s">
        <v>245</v>
      </c>
      <c r="F31">
        <v>30</v>
      </c>
      <c r="G31">
        <v>30</v>
      </c>
      <c r="H31">
        <v>29</v>
      </c>
      <c r="I31" s="70" t="s">
        <v>239</v>
      </c>
      <c r="J31" s="72" t="s">
        <v>25</v>
      </c>
      <c r="K31" s="96">
        <v>1747.0325131</v>
      </c>
      <c r="L31" s="96">
        <v>2189.1187774</v>
      </c>
      <c r="M31" s="96">
        <v>2040.9297869000004</v>
      </c>
      <c r="N31" s="96">
        <v>1744.8211392999997</v>
      </c>
      <c r="O31" s="96">
        <v>1262.3512515</v>
      </c>
      <c r="P31" s="96">
        <v>1280.4644970999996</v>
      </c>
      <c r="Q31" s="96">
        <v>1835.5924112000009</v>
      </c>
      <c r="R31" s="96">
        <v>2732.1082088000003</v>
      </c>
      <c r="S31" s="96">
        <v>1866.7540910599998</v>
      </c>
      <c r="T31" s="97">
        <v>124.03</v>
      </c>
      <c r="U31" s="97">
        <v>6.83</v>
      </c>
      <c r="V31" s="97" t="s">
        <v>168</v>
      </c>
      <c r="W31" s="97" t="s">
        <v>169</v>
      </c>
      <c r="X31" s="74">
        <v>5971.91</v>
      </c>
    </row>
    <row r="32" spans="2:24" ht="23.25" x14ac:dyDescent="0.5">
      <c r="B32" s="3" t="s">
        <v>10</v>
      </c>
      <c r="D32" s="68" t="s">
        <v>243</v>
      </c>
      <c r="E32" s="20" t="s">
        <v>245</v>
      </c>
      <c r="F32">
        <v>31</v>
      </c>
      <c r="G32">
        <v>31</v>
      </c>
      <c r="H32">
        <v>29</v>
      </c>
      <c r="I32" s="70" t="s">
        <v>240</v>
      </c>
      <c r="J32" s="72" t="s">
        <v>25</v>
      </c>
      <c r="K32" s="96">
        <v>2.8368053</v>
      </c>
      <c r="L32" s="96">
        <v>29.275278100000001</v>
      </c>
      <c r="M32" s="96">
        <v>6.6803632000000004</v>
      </c>
      <c r="N32" s="96">
        <v>57.920534600000003</v>
      </c>
      <c r="O32" s="96">
        <v>228.95884799999999</v>
      </c>
      <c r="P32" s="96">
        <v>100.41371060000002</v>
      </c>
      <c r="Q32" s="96">
        <v>0.77173840000000005</v>
      </c>
      <c r="R32" s="96">
        <v>51.927578830000002</v>
      </c>
      <c r="S32" s="96">
        <v>38.085713980000001</v>
      </c>
      <c r="T32" s="97">
        <v>13.6</v>
      </c>
      <c r="U32" s="97">
        <v>6.94</v>
      </c>
      <c r="V32" s="97">
        <v>5.94</v>
      </c>
      <c r="W32" s="97">
        <v>0.28999999999999998</v>
      </c>
      <c r="X32" s="74">
        <v>8.0299999999999994</v>
      </c>
    </row>
    <row r="33" spans="2:24" ht="23.25" x14ac:dyDescent="0.5">
      <c r="B33" s="3" t="s">
        <v>10</v>
      </c>
      <c r="D33" s="68" t="s">
        <v>243</v>
      </c>
      <c r="E33" s="20" t="s">
        <v>245</v>
      </c>
      <c r="F33">
        <v>32</v>
      </c>
      <c r="G33">
        <v>32</v>
      </c>
      <c r="H33">
        <v>29</v>
      </c>
      <c r="I33" s="70" t="s">
        <v>91</v>
      </c>
      <c r="J33" s="72" t="s">
        <v>25</v>
      </c>
      <c r="K33" s="96">
        <v>22.919460000000001</v>
      </c>
      <c r="L33" s="96">
        <v>26.933454999999999</v>
      </c>
      <c r="M33" s="96">
        <v>21.443377100000003</v>
      </c>
      <c r="N33" s="96">
        <v>26.917976100000001</v>
      </c>
      <c r="O33" s="96">
        <v>22.467994999999998</v>
      </c>
      <c r="P33" s="96">
        <v>23.766015799999998</v>
      </c>
      <c r="Q33" s="96">
        <v>26.532500000000002</v>
      </c>
      <c r="R33" s="96">
        <v>29.569765559999997</v>
      </c>
      <c r="S33" s="96">
        <v>24.066682280000002</v>
      </c>
      <c r="T33" s="97">
        <v>3.99</v>
      </c>
      <c r="U33" s="97">
        <v>0.04</v>
      </c>
      <c r="V33" s="97">
        <v>1.3</v>
      </c>
      <c r="W33" s="97">
        <v>1.79</v>
      </c>
      <c r="X33" s="73"/>
    </row>
    <row r="34" spans="2:24" ht="23.25" x14ac:dyDescent="0.5">
      <c r="B34" s="3" t="s">
        <v>10</v>
      </c>
      <c r="D34" s="68" t="s">
        <v>243</v>
      </c>
      <c r="E34" s="20" t="s">
        <v>245</v>
      </c>
      <c r="F34">
        <v>33</v>
      </c>
      <c r="G34">
        <v>33</v>
      </c>
      <c r="H34">
        <v>29</v>
      </c>
      <c r="I34" s="70" t="s">
        <v>170</v>
      </c>
      <c r="J34" s="72" t="s">
        <v>25</v>
      </c>
      <c r="K34" s="96">
        <v>3.3205244000000955</v>
      </c>
      <c r="L34" s="96">
        <v>0.80969680000019073</v>
      </c>
      <c r="M34" s="96">
        <v>0.49304939999985697</v>
      </c>
      <c r="N34" s="96">
        <v>3.4018312999999525</v>
      </c>
      <c r="O34" s="96">
        <v>41.412237099999906</v>
      </c>
      <c r="P34" s="96">
        <v>0.66458499999999998</v>
      </c>
      <c r="Q34" s="96">
        <v>7.211598799999952</v>
      </c>
      <c r="R34" s="96">
        <v>5.42286</v>
      </c>
      <c r="S34" s="96">
        <v>9.9101146000001439</v>
      </c>
      <c r="T34" s="97">
        <v>48.16</v>
      </c>
      <c r="U34" s="97">
        <v>1.73</v>
      </c>
      <c r="V34" s="97">
        <v>23.29</v>
      </c>
      <c r="W34" s="97">
        <v>0.83</v>
      </c>
      <c r="X34" s="73">
        <v>18.13</v>
      </c>
    </row>
    <row r="35" spans="2:24" ht="23.25" x14ac:dyDescent="0.5">
      <c r="B35" s="3" t="s">
        <v>10</v>
      </c>
      <c r="D35" s="68" t="s">
        <v>243</v>
      </c>
      <c r="E35" s="20" t="s">
        <v>245</v>
      </c>
      <c r="F35">
        <v>34</v>
      </c>
      <c r="G35">
        <v>34</v>
      </c>
      <c r="H35">
        <v>1</v>
      </c>
      <c r="I35" s="70" t="s">
        <v>92</v>
      </c>
      <c r="J35" s="72" t="s">
        <v>25</v>
      </c>
      <c r="K35" s="96">
        <v>33702.479129399995</v>
      </c>
      <c r="L35" s="96">
        <v>25836.044212600002</v>
      </c>
      <c r="M35" s="96">
        <v>26811.306330900006</v>
      </c>
      <c r="N35" s="96">
        <v>32729.239762200006</v>
      </c>
      <c r="O35" s="96">
        <v>23368.1807816</v>
      </c>
      <c r="P35" s="96">
        <v>23547.011386799997</v>
      </c>
      <c r="Q35" s="96">
        <v>35128.035840499993</v>
      </c>
      <c r="R35" s="96">
        <v>38228.634971620006</v>
      </c>
      <c r="S35" s="96">
        <v>58699.023464930011</v>
      </c>
      <c r="T35" s="97">
        <v>42007.88</v>
      </c>
      <c r="U35" s="97">
        <v>34860.06</v>
      </c>
      <c r="V35" s="97" t="s">
        <v>171</v>
      </c>
      <c r="W35" s="97" t="s">
        <v>172</v>
      </c>
      <c r="X35" s="73">
        <v>41684.410000000003</v>
      </c>
    </row>
    <row r="36" spans="2:24" ht="23.25" x14ac:dyDescent="0.5">
      <c r="B36" s="3" t="s">
        <v>10</v>
      </c>
      <c r="D36" s="68" t="s">
        <v>243</v>
      </c>
      <c r="E36" s="20" t="s">
        <v>245</v>
      </c>
      <c r="F36">
        <v>35</v>
      </c>
      <c r="G36">
        <v>35</v>
      </c>
      <c r="H36">
        <v>34</v>
      </c>
      <c r="I36" s="70" t="s">
        <v>242</v>
      </c>
      <c r="J36" s="72" t="s">
        <v>25</v>
      </c>
      <c r="K36" s="96">
        <v>28410.402998699996</v>
      </c>
      <c r="L36" s="96">
        <v>15910.856775499999</v>
      </c>
      <c r="M36" s="96">
        <v>14740.66793</v>
      </c>
      <c r="N36" s="96">
        <v>15193.016006400003</v>
      </c>
      <c r="O36" s="96">
        <v>12889.143747699998</v>
      </c>
      <c r="P36" s="96">
        <v>12496.830417499998</v>
      </c>
      <c r="Q36" s="96">
        <v>18902.055461399996</v>
      </c>
      <c r="R36" s="96">
        <v>19994.365056989998</v>
      </c>
      <c r="S36" s="96">
        <v>23824.874518050005</v>
      </c>
      <c r="T36" s="97" t="s">
        <v>173</v>
      </c>
      <c r="U36" s="97" t="s">
        <v>174</v>
      </c>
      <c r="V36" s="97" t="s">
        <v>175</v>
      </c>
      <c r="W36" s="97" t="s">
        <v>176</v>
      </c>
      <c r="X36" s="73">
        <v>25534.39</v>
      </c>
    </row>
    <row r="37" spans="2:24" ht="23.25" x14ac:dyDescent="0.5">
      <c r="B37" s="3" t="s">
        <v>10</v>
      </c>
      <c r="D37" s="68" t="s">
        <v>243</v>
      </c>
      <c r="E37" s="20" t="s">
        <v>245</v>
      </c>
      <c r="F37">
        <v>36</v>
      </c>
      <c r="G37">
        <v>36</v>
      </c>
      <c r="H37">
        <v>35</v>
      </c>
      <c r="I37" s="70" t="s">
        <v>64</v>
      </c>
      <c r="J37" s="72" t="s">
        <v>25</v>
      </c>
      <c r="K37" s="96">
        <v>5076.9940539999989</v>
      </c>
      <c r="L37" s="96">
        <v>4017.8406202999986</v>
      </c>
      <c r="M37" s="96">
        <v>2162.1111162000007</v>
      </c>
      <c r="N37" s="96">
        <v>4289.9502041999995</v>
      </c>
      <c r="O37" s="96">
        <v>5051.7215653999974</v>
      </c>
      <c r="P37" s="96">
        <v>5233.0874309999972</v>
      </c>
      <c r="Q37" s="96">
        <v>8590.2397723999984</v>
      </c>
      <c r="R37" s="96">
        <v>11551.822348049996</v>
      </c>
      <c r="S37" s="96">
        <v>11618.955825480003</v>
      </c>
      <c r="T37" s="97" t="s">
        <v>177</v>
      </c>
      <c r="U37" s="97" t="s">
        <v>178</v>
      </c>
      <c r="V37" s="97" t="s">
        <v>179</v>
      </c>
      <c r="W37" s="97" t="s">
        <v>180</v>
      </c>
      <c r="X37" s="73">
        <v>13194.22</v>
      </c>
    </row>
    <row r="38" spans="2:24" ht="23.25" x14ac:dyDescent="0.5">
      <c r="B38" s="3" t="s">
        <v>10</v>
      </c>
      <c r="D38" s="68" t="s">
        <v>243</v>
      </c>
      <c r="E38" s="20" t="s">
        <v>245</v>
      </c>
      <c r="F38">
        <v>37</v>
      </c>
      <c r="G38">
        <v>37</v>
      </c>
      <c r="H38">
        <v>35</v>
      </c>
      <c r="I38" s="70" t="s">
        <v>65</v>
      </c>
      <c r="J38" s="72" t="s">
        <v>25</v>
      </c>
      <c r="K38" s="96">
        <v>6328.133946599999</v>
      </c>
      <c r="L38" s="96">
        <v>3086.0623623999995</v>
      </c>
      <c r="M38" s="96">
        <v>2470.2810678000005</v>
      </c>
      <c r="N38" s="96">
        <v>1686.775650999999</v>
      </c>
      <c r="O38" s="96">
        <v>1121.8233001000001</v>
      </c>
      <c r="P38" s="96">
        <v>1243.7481633000004</v>
      </c>
      <c r="Q38" s="96">
        <v>1214.1651310999998</v>
      </c>
      <c r="R38" s="96">
        <v>1527.1489462599998</v>
      </c>
      <c r="S38" s="96">
        <v>2568.4558476199982</v>
      </c>
      <c r="T38" s="97" t="s">
        <v>181</v>
      </c>
      <c r="U38" s="97" t="s">
        <v>182</v>
      </c>
      <c r="V38" s="97" t="s">
        <v>183</v>
      </c>
      <c r="W38" s="97" t="s">
        <v>184</v>
      </c>
      <c r="X38" s="73">
        <v>1819.87</v>
      </c>
    </row>
    <row r="39" spans="2:24" ht="23.25" x14ac:dyDescent="0.5">
      <c r="B39" s="3" t="s">
        <v>10</v>
      </c>
      <c r="D39" s="68" t="s">
        <v>243</v>
      </c>
      <c r="E39" s="20" t="s">
        <v>245</v>
      </c>
      <c r="F39">
        <v>38</v>
      </c>
      <c r="G39">
        <v>38</v>
      </c>
      <c r="H39">
        <v>35</v>
      </c>
      <c r="I39" s="70" t="s">
        <v>70</v>
      </c>
      <c r="J39" s="72" t="s">
        <v>25</v>
      </c>
      <c r="K39" s="96">
        <v>2802.7136727999996</v>
      </c>
      <c r="L39" s="96">
        <v>797.63268080000012</v>
      </c>
      <c r="M39" s="96">
        <v>18.589039100000001</v>
      </c>
      <c r="N39" s="96">
        <v>439.99767880000002</v>
      </c>
      <c r="O39" s="96">
        <v>1.7898889</v>
      </c>
      <c r="P39" s="96">
        <v>8.3500995999999983</v>
      </c>
      <c r="Q39" s="96">
        <v>156.18750350000002</v>
      </c>
      <c r="R39" s="96">
        <v>111.82951332</v>
      </c>
      <c r="S39" s="96">
        <v>732.78975772999979</v>
      </c>
      <c r="T39" s="97">
        <v>614.78</v>
      </c>
      <c r="U39" s="97">
        <v>187.13</v>
      </c>
      <c r="V39" s="97">
        <v>40.32</v>
      </c>
      <c r="W39" s="97">
        <v>26.12</v>
      </c>
      <c r="X39" s="73">
        <v>290.52</v>
      </c>
    </row>
    <row r="40" spans="2:24" ht="23.25" x14ac:dyDescent="0.5">
      <c r="B40" s="3" t="s">
        <v>10</v>
      </c>
      <c r="D40" s="68" t="s">
        <v>243</v>
      </c>
      <c r="E40" s="20" t="s">
        <v>245</v>
      </c>
      <c r="F40">
        <v>39</v>
      </c>
      <c r="G40">
        <v>39</v>
      </c>
      <c r="H40">
        <v>35</v>
      </c>
      <c r="I40" s="70" t="s">
        <v>238</v>
      </c>
      <c r="J40" s="72" t="s">
        <v>25</v>
      </c>
      <c r="K40" s="96">
        <v>3497.3052820000003</v>
      </c>
      <c r="L40" s="96">
        <v>122.99704440000001</v>
      </c>
      <c r="M40" s="96">
        <v>98.904133999999999</v>
      </c>
      <c r="N40" s="96">
        <v>876.94158870000001</v>
      </c>
      <c r="O40" s="96">
        <v>6.8651801999999993</v>
      </c>
      <c r="P40" s="96">
        <v>270.82073110000005</v>
      </c>
      <c r="Q40" s="96">
        <v>109.10796360000001</v>
      </c>
      <c r="R40" s="96">
        <v>49.878078710000004</v>
      </c>
      <c r="S40" s="96">
        <v>124.51952411000002</v>
      </c>
      <c r="T40" s="97">
        <v>320.89999999999998</v>
      </c>
      <c r="U40" s="97">
        <v>243.44</v>
      </c>
      <c r="V40" s="97">
        <v>502.09</v>
      </c>
      <c r="W40" s="97" t="s">
        <v>185</v>
      </c>
      <c r="X40" s="73">
        <v>147.97999999999999</v>
      </c>
    </row>
    <row r="41" spans="2:24" ht="23.25" x14ac:dyDescent="0.5">
      <c r="B41" s="3" t="s">
        <v>10</v>
      </c>
      <c r="D41" s="68" t="s">
        <v>243</v>
      </c>
      <c r="E41" s="20" t="s">
        <v>245</v>
      </c>
      <c r="F41">
        <v>40</v>
      </c>
      <c r="G41">
        <v>40</v>
      </c>
      <c r="H41">
        <v>35</v>
      </c>
      <c r="I41" s="70" t="s">
        <v>62</v>
      </c>
      <c r="J41" s="72" t="s">
        <v>25</v>
      </c>
      <c r="K41" s="96">
        <v>1755.8359272</v>
      </c>
      <c r="L41" s="96">
        <v>2382.0372021999992</v>
      </c>
      <c r="M41" s="96">
        <v>3735.9761691999997</v>
      </c>
      <c r="N41" s="96">
        <v>3548.8132390000001</v>
      </c>
      <c r="O41" s="96">
        <v>1990.0665343999999</v>
      </c>
      <c r="P41" s="96">
        <v>1880.5916408999999</v>
      </c>
      <c r="Q41" s="96">
        <v>3531.8319188999994</v>
      </c>
      <c r="R41" s="96">
        <v>2491.868485</v>
      </c>
      <c r="S41" s="96">
        <v>2631.1507442799993</v>
      </c>
      <c r="T41" s="97" t="s">
        <v>186</v>
      </c>
      <c r="U41" s="97" t="s">
        <v>187</v>
      </c>
      <c r="V41" s="97" t="s">
        <v>188</v>
      </c>
      <c r="W41" s="97" t="s">
        <v>189</v>
      </c>
      <c r="X41" s="73">
        <v>3008.04</v>
      </c>
    </row>
    <row r="42" spans="2:24" ht="23.25" x14ac:dyDescent="0.5">
      <c r="B42" s="3" t="s">
        <v>10</v>
      </c>
      <c r="D42" s="68" t="s">
        <v>243</v>
      </c>
      <c r="E42" s="20" t="s">
        <v>245</v>
      </c>
      <c r="F42">
        <v>41</v>
      </c>
      <c r="G42">
        <v>41</v>
      </c>
      <c r="H42">
        <v>35</v>
      </c>
      <c r="I42" s="70" t="s">
        <v>63</v>
      </c>
      <c r="J42" s="72" t="s">
        <v>25</v>
      </c>
      <c r="K42" s="96">
        <v>50.99183</v>
      </c>
      <c r="L42" s="96">
        <v>148.8968433</v>
      </c>
      <c r="M42" s="96">
        <v>648.10910220000005</v>
      </c>
      <c r="N42" s="96">
        <v>451.66612400000002</v>
      </c>
      <c r="O42" s="96">
        <v>962.43265479999991</v>
      </c>
      <c r="P42" s="96">
        <v>561.91773420000004</v>
      </c>
      <c r="Q42" s="96">
        <v>304.27337279999995</v>
      </c>
      <c r="R42" s="96">
        <v>153.14330584999999</v>
      </c>
      <c r="S42" s="96">
        <v>260.04213751000003</v>
      </c>
      <c r="T42" s="97">
        <v>290.95999999999998</v>
      </c>
      <c r="U42" s="97">
        <v>184.27</v>
      </c>
      <c r="V42" s="97">
        <v>175.29</v>
      </c>
      <c r="W42" s="97">
        <v>226.54</v>
      </c>
      <c r="X42" s="73"/>
    </row>
    <row r="43" spans="2:24" ht="23.25" x14ac:dyDescent="0.5">
      <c r="B43" s="3" t="s">
        <v>10</v>
      </c>
      <c r="D43" s="68" t="s">
        <v>243</v>
      </c>
      <c r="E43" s="20" t="s">
        <v>245</v>
      </c>
      <c r="F43">
        <v>42</v>
      </c>
      <c r="G43">
        <v>42</v>
      </c>
      <c r="H43">
        <v>35</v>
      </c>
      <c r="I43" s="70" t="s">
        <v>95</v>
      </c>
      <c r="J43" s="72" t="s">
        <v>25</v>
      </c>
      <c r="K43" s="96">
        <v>0.70118510000000012</v>
      </c>
      <c r="L43" s="96">
        <v>2.3035000000000001</v>
      </c>
      <c r="M43" s="96">
        <v>214.82004419999998</v>
      </c>
      <c r="N43" s="96">
        <v>0</v>
      </c>
      <c r="O43" s="96">
        <v>0.1406</v>
      </c>
      <c r="P43" s="96">
        <v>0.31806719999999999</v>
      </c>
      <c r="Q43" s="96">
        <v>1.8425E-2</v>
      </c>
      <c r="R43" s="96">
        <v>0.33350249999999998</v>
      </c>
      <c r="S43" s="96">
        <v>376.76369699999998</v>
      </c>
      <c r="T43" s="97">
        <v>570.66</v>
      </c>
      <c r="U43" s="97">
        <v>745.49</v>
      </c>
      <c r="V43" s="97" t="s">
        <v>190</v>
      </c>
      <c r="W43" s="97">
        <v>0.1</v>
      </c>
      <c r="X43" s="73">
        <v>186.98</v>
      </c>
    </row>
    <row r="44" spans="2:24" ht="23.25" x14ac:dyDescent="0.5">
      <c r="B44" s="3" t="s">
        <v>10</v>
      </c>
      <c r="D44" s="68" t="s">
        <v>243</v>
      </c>
      <c r="E44" s="20" t="s">
        <v>245</v>
      </c>
      <c r="F44">
        <v>43</v>
      </c>
      <c r="G44">
        <v>43</v>
      </c>
      <c r="H44">
        <v>35</v>
      </c>
      <c r="I44" s="70" t="s">
        <v>191</v>
      </c>
      <c r="J44" s="72" t="s">
        <v>25</v>
      </c>
      <c r="K44" s="96">
        <v>188.35419619999996</v>
      </c>
      <c r="L44" s="96">
        <v>128.35187580000002</v>
      </c>
      <c r="M44" s="96">
        <v>165.55751000000001</v>
      </c>
      <c r="N44" s="96">
        <v>143.56705500000001</v>
      </c>
      <c r="O44" s="96">
        <v>143.01635899999999</v>
      </c>
      <c r="P44" s="96">
        <v>151.0901269</v>
      </c>
      <c r="Q44" s="96">
        <v>330.85790739999999</v>
      </c>
      <c r="R44" s="96">
        <v>824.45414532000007</v>
      </c>
      <c r="S44" s="96">
        <v>714.06918515000007</v>
      </c>
      <c r="T44" s="97">
        <v>229.82</v>
      </c>
      <c r="U44" s="97">
        <v>327.88</v>
      </c>
      <c r="V44" s="97">
        <v>318.85000000000002</v>
      </c>
      <c r="W44" s="97">
        <v>244.61</v>
      </c>
      <c r="X44" s="73">
        <v>385.34</v>
      </c>
    </row>
    <row r="45" spans="2:24" ht="23.25" x14ac:dyDescent="0.5">
      <c r="B45" s="3" t="s">
        <v>10</v>
      </c>
      <c r="D45" s="68" t="s">
        <v>243</v>
      </c>
      <c r="E45" s="20" t="s">
        <v>245</v>
      </c>
      <c r="F45">
        <v>44</v>
      </c>
      <c r="G45">
        <v>44</v>
      </c>
      <c r="H45">
        <v>35</v>
      </c>
      <c r="I45" s="70" t="s">
        <v>94</v>
      </c>
      <c r="J45" s="72" t="s">
        <v>25</v>
      </c>
      <c r="K45" s="96">
        <v>7553.0118782000009</v>
      </c>
      <c r="L45" s="96">
        <v>4502.7942724000013</v>
      </c>
      <c r="M45" s="96">
        <v>4766.5498694999978</v>
      </c>
      <c r="N45" s="96">
        <v>3015.2650804999998</v>
      </c>
      <c r="O45" s="96">
        <v>2946.3449211000006</v>
      </c>
      <c r="P45" s="96">
        <v>2310.1932537999996</v>
      </c>
      <c r="Q45" s="96">
        <v>3628.5310246999998</v>
      </c>
      <c r="R45" s="96">
        <v>2369.7014337799997</v>
      </c>
      <c r="S45" s="96">
        <v>3759.8147028199987</v>
      </c>
      <c r="T45" s="97" t="s">
        <v>192</v>
      </c>
      <c r="U45" s="97" t="s">
        <v>193</v>
      </c>
      <c r="V45" s="97" t="s">
        <v>194</v>
      </c>
      <c r="W45" s="97" t="s">
        <v>195</v>
      </c>
      <c r="X45" s="73">
        <v>5591.81</v>
      </c>
    </row>
    <row r="46" spans="2:24" ht="23.25" x14ac:dyDescent="0.5">
      <c r="B46" s="3" t="s">
        <v>10</v>
      </c>
      <c r="D46" s="68" t="s">
        <v>243</v>
      </c>
      <c r="E46" s="20" t="s">
        <v>245</v>
      </c>
      <c r="F46">
        <v>45</v>
      </c>
      <c r="G46">
        <v>45</v>
      </c>
      <c r="H46">
        <v>35</v>
      </c>
      <c r="I46" s="70" t="s">
        <v>76</v>
      </c>
      <c r="J46" s="72" t="s">
        <v>25</v>
      </c>
      <c r="K46" s="96">
        <v>407.83919380000003</v>
      </c>
      <c r="L46" s="96">
        <v>510.75440230000004</v>
      </c>
      <c r="M46" s="96">
        <v>332.38451549999996</v>
      </c>
      <c r="N46" s="96">
        <v>705.55005870000014</v>
      </c>
      <c r="O46" s="96">
        <v>632.59037249999983</v>
      </c>
      <c r="P46" s="96">
        <v>635.6848593000002</v>
      </c>
      <c r="Q46" s="96">
        <v>970.7019537000001</v>
      </c>
      <c r="R46" s="96">
        <v>879.31881905000023</v>
      </c>
      <c r="S46" s="96">
        <v>952.12534193000045</v>
      </c>
      <c r="T46" s="97">
        <v>574.73</v>
      </c>
      <c r="U46" s="97">
        <v>820.46</v>
      </c>
      <c r="V46" s="97">
        <v>638.52</v>
      </c>
      <c r="W46" s="97">
        <v>659.9</v>
      </c>
      <c r="X46" s="73">
        <v>851.86</v>
      </c>
    </row>
    <row r="47" spans="2:24" ht="23.25" x14ac:dyDescent="0.5">
      <c r="B47" s="3" t="s">
        <v>10</v>
      </c>
      <c r="D47" s="68" t="s">
        <v>243</v>
      </c>
      <c r="E47" s="20" t="s">
        <v>245</v>
      </c>
      <c r="F47">
        <v>46</v>
      </c>
      <c r="G47">
        <v>46</v>
      </c>
      <c r="H47">
        <v>35</v>
      </c>
      <c r="I47" s="70" t="s">
        <v>196</v>
      </c>
      <c r="J47" s="72" t="s">
        <v>25</v>
      </c>
      <c r="K47" s="96">
        <v>360.22172760000001</v>
      </c>
      <c r="L47" s="96">
        <v>148.3175899</v>
      </c>
      <c r="M47" s="96">
        <v>6.26665E-2</v>
      </c>
      <c r="N47" s="96">
        <v>0</v>
      </c>
      <c r="O47" s="96">
        <v>4.6117169999999996</v>
      </c>
      <c r="P47" s="96">
        <v>104.4124429</v>
      </c>
      <c r="Q47" s="96">
        <v>1.7799999999999999E-3</v>
      </c>
      <c r="R47" s="96">
        <v>0</v>
      </c>
      <c r="S47" s="96">
        <v>0.58799999999999997</v>
      </c>
      <c r="T47" s="97">
        <v>11.09</v>
      </c>
      <c r="U47" s="97">
        <v>3.39</v>
      </c>
      <c r="V47" s="97">
        <v>0.02</v>
      </c>
      <c r="W47" s="97">
        <v>0.02</v>
      </c>
      <c r="X47" s="73">
        <v>0.5</v>
      </c>
    </row>
    <row r="48" spans="2:24" ht="23.25" x14ac:dyDescent="0.5">
      <c r="B48" s="3" t="s">
        <v>10</v>
      </c>
      <c r="D48" s="68" t="s">
        <v>243</v>
      </c>
      <c r="E48" s="20" t="s">
        <v>245</v>
      </c>
      <c r="F48">
        <v>47</v>
      </c>
      <c r="G48">
        <v>47</v>
      </c>
      <c r="H48">
        <v>35</v>
      </c>
      <c r="I48" s="70" t="s">
        <v>197</v>
      </c>
      <c r="J48" s="72" t="s">
        <v>25</v>
      </c>
      <c r="K48" s="96">
        <v>388.30010520000076</v>
      </c>
      <c r="L48" s="96">
        <v>62.868381700000761</v>
      </c>
      <c r="M48" s="96">
        <v>127.32269579999924</v>
      </c>
      <c r="N48" s="96">
        <v>34.489326500003813</v>
      </c>
      <c r="O48" s="96">
        <v>27.740654300001143</v>
      </c>
      <c r="P48" s="96">
        <v>96.615867299999238</v>
      </c>
      <c r="Q48" s="96">
        <v>66.138708299995429</v>
      </c>
      <c r="R48" s="96">
        <v>34.866479150001524</v>
      </c>
      <c r="S48" s="96">
        <v>85.599754420001986</v>
      </c>
      <c r="T48" s="97">
        <v>25.61</v>
      </c>
      <c r="U48" s="97">
        <v>27.62</v>
      </c>
      <c r="V48" s="97">
        <v>726.08</v>
      </c>
      <c r="W48" s="97">
        <v>479.21</v>
      </c>
      <c r="X48" s="73">
        <v>57.26</v>
      </c>
    </row>
    <row r="49" spans="2:24" ht="23.25" x14ac:dyDescent="0.5">
      <c r="B49" s="3" t="s">
        <v>10</v>
      </c>
      <c r="D49" s="68" t="s">
        <v>243</v>
      </c>
      <c r="E49" s="20" t="s">
        <v>245</v>
      </c>
      <c r="F49">
        <v>48</v>
      </c>
      <c r="G49">
        <v>48</v>
      </c>
      <c r="H49">
        <v>34</v>
      </c>
      <c r="I49" s="70" t="s">
        <v>198</v>
      </c>
      <c r="J49" s="72" t="s">
        <v>25</v>
      </c>
      <c r="K49" s="96">
        <v>348.61282590000002</v>
      </c>
      <c r="L49" s="96">
        <v>198.77148099999999</v>
      </c>
      <c r="M49" s="96">
        <v>255.46468409999997</v>
      </c>
      <c r="N49" s="96">
        <v>417.7277527</v>
      </c>
      <c r="O49" s="96">
        <v>25.219352899999997</v>
      </c>
      <c r="P49" s="96">
        <v>78.045066500000019</v>
      </c>
      <c r="Q49" s="96">
        <v>98.723331899999991</v>
      </c>
      <c r="R49" s="96">
        <v>185.81271842000001</v>
      </c>
      <c r="S49" s="96">
        <v>66.285545960000007</v>
      </c>
      <c r="T49" s="97">
        <v>63.03</v>
      </c>
      <c r="U49" s="97">
        <v>722.48</v>
      </c>
      <c r="V49" s="97">
        <v>867.8</v>
      </c>
      <c r="W49" s="97" t="s">
        <v>199</v>
      </c>
      <c r="X49" s="73">
        <v>930.71</v>
      </c>
    </row>
    <row r="50" spans="2:24" ht="23.25" x14ac:dyDescent="0.5">
      <c r="B50" s="3" t="s">
        <v>10</v>
      </c>
      <c r="D50" s="68" t="s">
        <v>243</v>
      </c>
      <c r="E50" s="20" t="s">
        <v>245</v>
      </c>
      <c r="F50">
        <v>49</v>
      </c>
      <c r="G50">
        <v>49</v>
      </c>
      <c r="H50">
        <v>34</v>
      </c>
      <c r="I50" s="70" t="s">
        <v>60</v>
      </c>
      <c r="J50" s="72" t="s">
        <v>25</v>
      </c>
      <c r="K50" s="96">
        <v>31.319807700000002</v>
      </c>
      <c r="L50" s="96">
        <v>29.874100300000002</v>
      </c>
      <c r="M50" s="96">
        <v>67.375513699999999</v>
      </c>
      <c r="N50" s="96">
        <v>350.22126019999996</v>
      </c>
      <c r="O50" s="96">
        <v>334.07634569999999</v>
      </c>
      <c r="P50" s="96">
        <v>579.19965409999998</v>
      </c>
      <c r="Q50" s="96">
        <v>1283.4825205999996</v>
      </c>
      <c r="R50" s="96">
        <v>1078.74638929</v>
      </c>
      <c r="S50" s="96">
        <v>1167.5477568200001</v>
      </c>
      <c r="T50" s="97">
        <v>818.15</v>
      </c>
      <c r="U50" s="97">
        <v>522.1</v>
      </c>
      <c r="V50" s="97">
        <v>710.37</v>
      </c>
      <c r="W50" s="97">
        <v>161.99</v>
      </c>
      <c r="X50" s="73">
        <v>324.33999999999997</v>
      </c>
    </row>
    <row r="51" spans="2:24" ht="23.25" x14ac:dyDescent="0.5">
      <c r="B51" s="3" t="s">
        <v>10</v>
      </c>
      <c r="D51" s="68" t="s">
        <v>243</v>
      </c>
      <c r="E51" s="20" t="s">
        <v>245</v>
      </c>
      <c r="F51">
        <v>50</v>
      </c>
      <c r="G51">
        <v>50</v>
      </c>
      <c r="H51">
        <v>34</v>
      </c>
      <c r="I51" s="70" t="s">
        <v>200</v>
      </c>
      <c r="J51" s="72" t="s">
        <v>25</v>
      </c>
      <c r="K51" s="96">
        <v>2.6466592000000002</v>
      </c>
      <c r="L51" s="96">
        <v>61.282499999999999</v>
      </c>
      <c r="M51" s="96">
        <v>149.47018919999999</v>
      </c>
      <c r="N51" s="96">
        <v>87.625494200000006</v>
      </c>
      <c r="O51" s="96">
        <v>68.641250499999998</v>
      </c>
      <c r="P51" s="96">
        <v>33.365259899999998</v>
      </c>
      <c r="Q51" s="96">
        <v>233.93494509999996</v>
      </c>
      <c r="R51" s="96">
        <v>343.23191573000003</v>
      </c>
      <c r="S51" s="96">
        <v>158.04821598000001</v>
      </c>
      <c r="T51" s="97">
        <v>83.48</v>
      </c>
      <c r="U51" s="97">
        <v>27.06</v>
      </c>
      <c r="V51" s="97">
        <v>62</v>
      </c>
      <c r="W51" s="97">
        <v>6.68</v>
      </c>
      <c r="X51" s="73">
        <v>36.15</v>
      </c>
    </row>
    <row r="52" spans="2:24" ht="23.25" x14ac:dyDescent="0.5">
      <c r="B52" s="3" t="s">
        <v>10</v>
      </c>
      <c r="D52" s="68" t="s">
        <v>243</v>
      </c>
      <c r="E52" s="20" t="s">
        <v>245</v>
      </c>
      <c r="F52">
        <v>51</v>
      </c>
      <c r="G52">
        <v>51</v>
      </c>
      <c r="H52">
        <v>34</v>
      </c>
      <c r="I52" s="70" t="s">
        <v>201</v>
      </c>
      <c r="J52" s="72" t="s">
        <v>25</v>
      </c>
      <c r="K52" s="96">
        <v>231.97490569999997</v>
      </c>
      <c r="L52" s="96">
        <v>167.15610860000007</v>
      </c>
      <c r="M52" s="96">
        <v>76.724274100000002</v>
      </c>
      <c r="N52" s="96">
        <v>117.44612459999999</v>
      </c>
      <c r="O52" s="96">
        <v>131.63310860000001</v>
      </c>
      <c r="P52" s="96">
        <v>80.742695699999999</v>
      </c>
      <c r="Q52" s="96">
        <v>105.81637449999997</v>
      </c>
      <c r="R52" s="96">
        <v>122.13551759000001</v>
      </c>
      <c r="S52" s="96">
        <v>120.08553244000001</v>
      </c>
      <c r="T52" s="97">
        <v>150.41999999999999</v>
      </c>
      <c r="U52" s="97">
        <v>127.6</v>
      </c>
      <c r="V52" s="97">
        <v>24.77</v>
      </c>
      <c r="W52" s="97">
        <v>40.94</v>
      </c>
      <c r="X52" s="73">
        <v>135.79</v>
      </c>
    </row>
    <row r="53" spans="2:24" ht="23.25" x14ac:dyDescent="0.5">
      <c r="B53" s="3" t="s">
        <v>10</v>
      </c>
      <c r="D53" s="68" t="s">
        <v>243</v>
      </c>
      <c r="E53" s="20" t="s">
        <v>245</v>
      </c>
      <c r="F53">
        <v>52</v>
      </c>
      <c r="G53">
        <v>52</v>
      </c>
      <c r="H53">
        <v>34</v>
      </c>
      <c r="I53" s="70" t="s">
        <v>93</v>
      </c>
      <c r="J53" s="72" t="s">
        <v>25</v>
      </c>
      <c r="K53" s="96">
        <v>3825.1403056000004</v>
      </c>
      <c r="L53" s="96">
        <v>8444.9997401000001</v>
      </c>
      <c r="M53" s="96">
        <v>10168.263972000001</v>
      </c>
      <c r="N53" s="96">
        <v>11047.500294300004</v>
      </c>
      <c r="O53" s="96">
        <v>8683.4150406999997</v>
      </c>
      <c r="P53" s="96">
        <v>7552.9262311000002</v>
      </c>
      <c r="Q53" s="96">
        <v>10964.0718715</v>
      </c>
      <c r="R53" s="96">
        <v>11563.838319800001</v>
      </c>
      <c r="S53" s="96">
        <v>28011.248872700002</v>
      </c>
      <c r="T53" s="97" t="s">
        <v>202</v>
      </c>
      <c r="U53" s="97">
        <v>0.68</v>
      </c>
      <c r="V53" s="97" t="s">
        <v>203</v>
      </c>
      <c r="W53" s="97" t="s">
        <v>204</v>
      </c>
      <c r="X53" s="73">
        <v>14688.89</v>
      </c>
    </row>
    <row r="54" spans="2:24" ht="23.25" x14ac:dyDescent="0.5">
      <c r="B54" s="3" t="s">
        <v>10</v>
      </c>
      <c r="D54" s="68" t="s">
        <v>243</v>
      </c>
      <c r="E54" s="20" t="s">
        <v>245</v>
      </c>
      <c r="F54">
        <v>53</v>
      </c>
      <c r="G54">
        <v>53</v>
      </c>
      <c r="H54">
        <v>34</v>
      </c>
      <c r="I54" s="70" t="s">
        <v>216</v>
      </c>
      <c r="J54" s="72" t="s">
        <v>25</v>
      </c>
      <c r="K54" s="96">
        <v>752.83843979999972</v>
      </c>
      <c r="L54" s="96">
        <v>843.16897070000005</v>
      </c>
      <c r="M54" s="96">
        <v>1315.3357297999999</v>
      </c>
      <c r="N54" s="96">
        <v>1730.5214994000003</v>
      </c>
      <c r="O54" s="96">
        <v>1154.4464091000002</v>
      </c>
      <c r="P54" s="96">
        <v>2690.9648144999987</v>
      </c>
      <c r="Q54" s="96">
        <v>3425.3671490000002</v>
      </c>
      <c r="R54" s="96">
        <v>4882.2639158000002</v>
      </c>
      <c r="S54" s="96">
        <v>5342.0282757000004</v>
      </c>
      <c r="T54" s="97" t="s">
        <v>205</v>
      </c>
      <c r="U54" s="97" t="s">
        <v>206</v>
      </c>
      <c r="V54" s="97">
        <v>5.13</v>
      </c>
      <c r="W54" s="97">
        <v>1.22</v>
      </c>
      <c r="X54" s="73">
        <v>5.72</v>
      </c>
    </row>
    <row r="55" spans="2:24" ht="23.25" x14ac:dyDescent="0.5">
      <c r="B55" s="3" t="s">
        <v>10</v>
      </c>
      <c r="D55" s="68" t="s">
        <v>243</v>
      </c>
      <c r="E55" s="20" t="s">
        <v>245</v>
      </c>
      <c r="F55">
        <v>54</v>
      </c>
      <c r="G55">
        <v>54</v>
      </c>
      <c r="H55">
        <v>34</v>
      </c>
      <c r="I55" s="70" t="s">
        <v>96</v>
      </c>
      <c r="J55" s="72" t="s">
        <v>25</v>
      </c>
      <c r="K55" s="96">
        <v>99.543186799995425</v>
      </c>
      <c r="L55" s="96">
        <v>179.93453640000533</v>
      </c>
      <c r="M55" s="96">
        <v>38.004038000003817</v>
      </c>
      <c r="N55" s="96">
        <v>3785.1813303999979</v>
      </c>
      <c r="O55" s="96">
        <v>81.605526400001523</v>
      </c>
      <c r="P55" s="96">
        <v>34.937247499999998</v>
      </c>
      <c r="Q55" s="96">
        <v>114.5841865</v>
      </c>
      <c r="R55" s="96">
        <v>58.241138000007631</v>
      </c>
      <c r="S55" s="96">
        <v>8.9047472799987801</v>
      </c>
      <c r="T55" s="97">
        <v>41.12</v>
      </c>
      <c r="U55" s="97">
        <v>21.57</v>
      </c>
      <c r="V55" s="97">
        <v>25.73</v>
      </c>
      <c r="W55" s="97">
        <v>18.52</v>
      </c>
      <c r="X55" s="73">
        <v>28.43</v>
      </c>
    </row>
    <row r="56" spans="2:24" ht="23.25" x14ac:dyDescent="0.5">
      <c r="B56" s="3" t="s">
        <v>10</v>
      </c>
      <c r="D56" s="68" t="s">
        <v>243</v>
      </c>
      <c r="E56" s="20" t="s">
        <v>245</v>
      </c>
      <c r="F56">
        <v>55</v>
      </c>
      <c r="G56">
        <v>55</v>
      </c>
      <c r="H56">
        <v>1</v>
      </c>
      <c r="I56" s="70" t="s">
        <v>97</v>
      </c>
      <c r="J56" s="72" t="s">
        <v>25</v>
      </c>
      <c r="K56" s="96">
        <v>44.639064600000005</v>
      </c>
      <c r="L56" s="96">
        <v>34.489347400000007</v>
      </c>
      <c r="M56" s="96">
        <v>929.98496249999982</v>
      </c>
      <c r="N56" s="96">
        <v>74.395034799999991</v>
      </c>
      <c r="O56" s="96">
        <v>125.18715570000001</v>
      </c>
      <c r="P56" s="96">
        <v>129.75106070000001</v>
      </c>
      <c r="Q56" s="96">
        <v>174.37078009999999</v>
      </c>
      <c r="R56" s="96">
        <v>756.29096035999987</v>
      </c>
      <c r="S56" s="96">
        <v>1242.5158285799998</v>
      </c>
      <c r="T56" s="97">
        <v>10738.68</v>
      </c>
      <c r="U56" s="97">
        <v>12006.53</v>
      </c>
      <c r="V56" s="97" t="s">
        <v>207</v>
      </c>
      <c r="W56" s="97" t="s">
        <v>208</v>
      </c>
      <c r="X56" s="73">
        <v>44438.32</v>
      </c>
    </row>
    <row r="57" spans="2:24" ht="23.25" x14ac:dyDescent="0.5">
      <c r="B57" s="3" t="s">
        <v>10</v>
      </c>
      <c r="D57" s="68" t="s">
        <v>243</v>
      </c>
      <c r="E57" s="20" t="s">
        <v>245</v>
      </c>
      <c r="F57">
        <v>56</v>
      </c>
      <c r="G57">
        <v>56</v>
      </c>
      <c r="H57">
        <v>55</v>
      </c>
      <c r="I57" s="70" t="s">
        <v>61</v>
      </c>
      <c r="J57" s="72" t="s">
        <v>25</v>
      </c>
      <c r="K57" s="96">
        <v>0</v>
      </c>
      <c r="L57" s="96">
        <v>2.7368607000000003</v>
      </c>
      <c r="M57" s="96">
        <v>0.05</v>
      </c>
      <c r="N57" s="96">
        <v>0.1</v>
      </c>
      <c r="O57" s="96">
        <v>0.02</v>
      </c>
      <c r="P57" s="96">
        <v>6.5000000000000002E-2</v>
      </c>
      <c r="Q57" s="96">
        <v>2.7149999999999999E-4</v>
      </c>
      <c r="R57" s="96">
        <v>0.13563</v>
      </c>
      <c r="S57" s="96">
        <v>17.847818829999998</v>
      </c>
      <c r="T57" s="97"/>
      <c r="U57" s="97"/>
      <c r="V57" s="97">
        <v>0.05</v>
      </c>
      <c r="W57" s="97"/>
      <c r="X57" s="73">
        <v>0.7</v>
      </c>
    </row>
    <row r="58" spans="2:24" ht="23.25" x14ac:dyDescent="0.5">
      <c r="B58" s="3" t="s">
        <v>10</v>
      </c>
      <c r="D58" s="68" t="s">
        <v>243</v>
      </c>
      <c r="E58" s="20" t="s">
        <v>245</v>
      </c>
      <c r="F58">
        <v>57</v>
      </c>
      <c r="G58">
        <v>57</v>
      </c>
      <c r="H58">
        <v>55</v>
      </c>
      <c r="I58" s="70" t="s">
        <v>100</v>
      </c>
      <c r="J58" s="72" t="s">
        <v>25</v>
      </c>
      <c r="K58" s="96">
        <v>0</v>
      </c>
      <c r="L58" s="96">
        <v>0</v>
      </c>
      <c r="M58" s="96">
        <v>0</v>
      </c>
      <c r="N58" s="96">
        <v>0</v>
      </c>
      <c r="O58" s="96">
        <v>0.05</v>
      </c>
      <c r="P58" s="96">
        <v>0</v>
      </c>
      <c r="Q58" s="96">
        <v>0</v>
      </c>
      <c r="R58" s="96">
        <v>9.5409300000000002E-2</v>
      </c>
      <c r="S58" s="96">
        <v>0</v>
      </c>
      <c r="T58" s="97">
        <v>0.04</v>
      </c>
      <c r="U58" s="97"/>
      <c r="V58" s="97"/>
      <c r="W58" s="97"/>
      <c r="X58" s="73">
        <v>4.6500000000000004</v>
      </c>
    </row>
    <row r="59" spans="2:24" ht="23.25" x14ac:dyDescent="0.5">
      <c r="B59" s="3" t="s">
        <v>10</v>
      </c>
      <c r="D59" s="68" t="s">
        <v>243</v>
      </c>
      <c r="E59" s="20" t="s">
        <v>245</v>
      </c>
      <c r="F59">
        <v>58</v>
      </c>
      <c r="G59">
        <v>58</v>
      </c>
      <c r="H59">
        <v>55</v>
      </c>
      <c r="I59" s="70" t="s">
        <v>99</v>
      </c>
      <c r="J59" s="72" t="s">
        <v>25</v>
      </c>
      <c r="K59" s="96">
        <v>8.5081791999999989</v>
      </c>
      <c r="L59" s="96">
        <v>4.3401262999999997</v>
      </c>
      <c r="M59" s="96">
        <v>805.89284499999985</v>
      </c>
      <c r="N59" s="96">
        <v>38.968178799999997</v>
      </c>
      <c r="O59" s="96">
        <v>64.296259000000006</v>
      </c>
      <c r="P59" s="96">
        <v>53.467566300000001</v>
      </c>
      <c r="Q59" s="96">
        <v>160.70974079999999</v>
      </c>
      <c r="R59" s="96">
        <v>314.85349718000003</v>
      </c>
      <c r="S59" s="96">
        <v>468.48807468000001</v>
      </c>
      <c r="T59" s="97">
        <v>96.25</v>
      </c>
      <c r="U59" s="97">
        <v>70.349999999999994</v>
      </c>
      <c r="V59" s="97">
        <v>63.64</v>
      </c>
      <c r="W59" s="97">
        <v>149.03</v>
      </c>
      <c r="X59" s="73">
        <v>0.87</v>
      </c>
    </row>
    <row r="60" spans="2:24" ht="23.25" x14ac:dyDescent="0.5">
      <c r="B60" s="3" t="s">
        <v>10</v>
      </c>
      <c r="D60" s="68" t="s">
        <v>243</v>
      </c>
      <c r="E60" s="20" t="s">
        <v>245</v>
      </c>
      <c r="F60">
        <v>59</v>
      </c>
      <c r="G60">
        <v>59</v>
      </c>
      <c r="H60">
        <v>55</v>
      </c>
      <c r="I60" s="70" t="s">
        <v>98</v>
      </c>
      <c r="J60" s="72" t="s">
        <v>25</v>
      </c>
      <c r="K60" s="96">
        <v>8.2234799999999997E-2</v>
      </c>
      <c r="L60" s="96">
        <v>1.2200000000000001E-2</v>
      </c>
      <c r="M60" s="96">
        <v>4.5572213000000001</v>
      </c>
      <c r="N60" s="96">
        <v>0.1506431</v>
      </c>
      <c r="O60" s="96">
        <v>0.1151736</v>
      </c>
      <c r="P60" s="96">
        <v>9.4097404000000004</v>
      </c>
      <c r="Q60" s="96">
        <v>4.8976101000000005</v>
      </c>
      <c r="R60" s="96">
        <v>8.9426592500000002</v>
      </c>
      <c r="S60" s="96">
        <v>0.64216096</v>
      </c>
      <c r="T60" s="97" t="s">
        <v>209</v>
      </c>
      <c r="U60" s="97" t="s">
        <v>210</v>
      </c>
      <c r="V60" s="97" t="s">
        <v>211</v>
      </c>
      <c r="W60" s="97" t="s">
        <v>212</v>
      </c>
      <c r="X60" s="73">
        <v>44339.05</v>
      </c>
    </row>
    <row r="61" spans="2:24" ht="23.25" x14ac:dyDescent="0.5">
      <c r="B61" s="3" t="s">
        <v>10</v>
      </c>
      <c r="D61" s="68" t="s">
        <v>243</v>
      </c>
      <c r="E61" s="20" t="s">
        <v>245</v>
      </c>
      <c r="F61">
        <v>60</v>
      </c>
      <c r="G61">
        <v>60</v>
      </c>
      <c r="H61">
        <v>55</v>
      </c>
      <c r="I61" s="70" t="s">
        <v>101</v>
      </c>
      <c r="J61" s="72" t="s">
        <v>25</v>
      </c>
      <c r="K61" s="96">
        <v>36.048650600000002</v>
      </c>
      <c r="L61" s="96">
        <v>27.400160400000004</v>
      </c>
      <c r="M61" s="96">
        <v>119.48489620000005</v>
      </c>
      <c r="N61" s="96">
        <v>35.176212899999996</v>
      </c>
      <c r="O61" s="96">
        <v>60.7057231</v>
      </c>
      <c r="P61" s="96">
        <v>66.808754000000022</v>
      </c>
      <c r="Q61" s="96">
        <v>8.7631577000000185</v>
      </c>
      <c r="R61" s="96">
        <v>432.26376462999986</v>
      </c>
      <c r="S61" s="96">
        <v>755.53777410999987</v>
      </c>
      <c r="T61" s="97">
        <v>118.43</v>
      </c>
      <c r="U61" s="97">
        <v>367.81</v>
      </c>
      <c r="V61" s="97">
        <v>602.59</v>
      </c>
      <c r="W61" s="97" t="s">
        <v>213</v>
      </c>
      <c r="X61" s="73">
        <v>93.05</v>
      </c>
    </row>
    <row r="62" spans="2:24" ht="23.25" x14ac:dyDescent="0.5">
      <c r="B62" s="3" t="s">
        <v>10</v>
      </c>
      <c r="D62" s="68" t="s">
        <v>243</v>
      </c>
      <c r="E62" s="20" t="s">
        <v>245</v>
      </c>
      <c r="F62">
        <v>61</v>
      </c>
      <c r="G62">
        <v>61</v>
      </c>
      <c r="H62">
        <v>1</v>
      </c>
      <c r="I62" s="70" t="s">
        <v>102</v>
      </c>
      <c r="J62" s="72" t="s">
        <v>25</v>
      </c>
      <c r="K62" s="96">
        <v>39.081879700012209</v>
      </c>
      <c r="L62" s="96">
        <v>17.63710619999695</v>
      </c>
      <c r="M62" s="96">
        <v>22.918090099990845</v>
      </c>
      <c r="N62" s="96">
        <v>18.112999999984741</v>
      </c>
      <c r="O62" s="96">
        <v>23.336940100006103</v>
      </c>
      <c r="P62" s="96">
        <v>9.0437768000106811</v>
      </c>
      <c r="Q62" s="96">
        <v>14.153457200012207</v>
      </c>
      <c r="R62" s="96">
        <v>36.989212100021362</v>
      </c>
      <c r="S62" s="96">
        <v>5.9717241699523926</v>
      </c>
      <c r="T62" s="97">
        <v>0.13</v>
      </c>
      <c r="U62" s="97">
        <v>0.19000000001688022</v>
      </c>
      <c r="V62" s="97">
        <v>0.05</v>
      </c>
      <c r="W62" s="97">
        <v>0.01</v>
      </c>
      <c r="X62" s="95">
        <v>0.80999999999767169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1864-BEAD-43B1-B68B-C69FD29AE181}">
  <sheetPr>
    <tabColor theme="6"/>
  </sheetPr>
  <dimension ref="A1:AN11"/>
  <sheetViews>
    <sheetView zoomScale="93" zoomScaleNormal="100" workbookViewId="0">
      <selection activeCell="E2" sqref="E2:E10"/>
    </sheetView>
  </sheetViews>
  <sheetFormatPr baseColWidth="10" defaultRowHeight="15" x14ac:dyDescent="0.25"/>
  <cols>
    <col min="2" max="2" width="24.42578125" customWidth="1"/>
    <col min="9" max="9" width="35.7109375" customWidth="1"/>
    <col min="10" max="10" width="60.140625" customWidth="1"/>
    <col min="11" max="25" width="15.42578125" customWidth="1"/>
    <col min="37" max="37" width="16.42578125" customWidth="1"/>
    <col min="38" max="39" width="17.28515625" customWidth="1"/>
  </cols>
  <sheetData>
    <row r="1" spans="1:40" ht="30.7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2">
        <v>1995</v>
      </c>
      <c r="L1" s="2">
        <v>1996</v>
      </c>
      <c r="M1" s="2">
        <v>1997</v>
      </c>
      <c r="N1" s="2">
        <v>1998</v>
      </c>
      <c r="O1" s="2">
        <v>1999</v>
      </c>
      <c r="P1" s="2">
        <v>2000</v>
      </c>
      <c r="Q1" s="2">
        <v>2001</v>
      </c>
      <c r="R1" s="2">
        <v>2002</v>
      </c>
      <c r="S1" s="2">
        <v>2003</v>
      </c>
      <c r="T1" s="2">
        <v>2004</v>
      </c>
      <c r="U1" s="2">
        <v>2005</v>
      </c>
      <c r="V1" s="2">
        <v>2006</v>
      </c>
      <c r="W1" s="2">
        <v>2007</v>
      </c>
      <c r="X1" s="2">
        <v>2008</v>
      </c>
      <c r="Y1" s="2">
        <v>2009</v>
      </c>
      <c r="Z1" s="2">
        <v>2010</v>
      </c>
      <c r="AA1" s="2">
        <v>2011</v>
      </c>
      <c r="AB1" s="2">
        <v>2012</v>
      </c>
      <c r="AC1" s="2">
        <v>2013</v>
      </c>
      <c r="AD1" s="2">
        <v>2014</v>
      </c>
      <c r="AE1" s="2">
        <v>2015</v>
      </c>
      <c r="AF1" s="2">
        <v>2016</v>
      </c>
      <c r="AG1" s="2">
        <v>2017</v>
      </c>
      <c r="AH1" s="2">
        <v>2018</v>
      </c>
      <c r="AI1" s="2">
        <v>2019</v>
      </c>
      <c r="AJ1" s="2">
        <v>2020</v>
      </c>
      <c r="AK1" s="2">
        <v>2021</v>
      </c>
      <c r="AL1" s="2">
        <v>2022</v>
      </c>
      <c r="AM1" s="2">
        <v>2023</v>
      </c>
      <c r="AN1" s="2">
        <v>2024</v>
      </c>
    </row>
    <row r="2" spans="1:40" ht="27.75" x14ac:dyDescent="0.65">
      <c r="B2" s="3" t="s">
        <v>10</v>
      </c>
      <c r="D2" s="42" t="s">
        <v>228</v>
      </c>
      <c r="E2" s="75" t="s">
        <v>246</v>
      </c>
      <c r="F2">
        <v>1</v>
      </c>
      <c r="G2">
        <v>1</v>
      </c>
      <c r="I2" s="45" t="s">
        <v>112</v>
      </c>
      <c r="J2" s="46" t="s">
        <v>25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3"/>
      <c r="AM2" s="3"/>
      <c r="AN2" s="47"/>
    </row>
    <row r="3" spans="1:40" ht="27.75" x14ac:dyDescent="0.65">
      <c r="B3" s="3" t="s">
        <v>10</v>
      </c>
      <c r="D3" s="42" t="s">
        <v>228</v>
      </c>
      <c r="E3" s="75" t="s">
        <v>246</v>
      </c>
      <c r="F3">
        <v>2</v>
      </c>
      <c r="G3">
        <v>2</v>
      </c>
      <c r="H3">
        <v>1</v>
      </c>
      <c r="I3" s="48" t="s">
        <v>113</v>
      </c>
      <c r="J3" s="46" t="s">
        <v>25</v>
      </c>
      <c r="K3" s="49">
        <v>26562</v>
      </c>
      <c r="L3" s="49">
        <v>24439</v>
      </c>
      <c r="M3" s="49">
        <v>20063</v>
      </c>
      <c r="N3" s="49">
        <v>11834</v>
      </c>
      <c r="O3" s="49">
        <v>15966</v>
      </c>
      <c r="P3" s="49">
        <v>17817</v>
      </c>
      <c r="Q3" s="49">
        <v>23943</v>
      </c>
      <c r="R3" s="49">
        <v>18955</v>
      </c>
      <c r="S3" s="49">
        <v>18746</v>
      </c>
      <c r="T3" s="49">
        <v>19907</v>
      </c>
      <c r="U3" s="49">
        <v>23381</v>
      </c>
      <c r="V3" s="49">
        <v>23550</v>
      </c>
      <c r="W3" s="49">
        <v>21814</v>
      </c>
      <c r="X3" s="49">
        <v>17920</v>
      </c>
      <c r="Y3" s="49">
        <v>19687</v>
      </c>
      <c r="Z3" s="47">
        <v>24732</v>
      </c>
      <c r="AA3" s="47">
        <v>17687</v>
      </c>
      <c r="AB3" s="47">
        <v>21807</v>
      </c>
      <c r="AC3" s="47">
        <v>23836</v>
      </c>
      <c r="AD3" s="47">
        <v>17568</v>
      </c>
      <c r="AE3" s="47">
        <v>21198</v>
      </c>
      <c r="AF3" s="47">
        <v>20063</v>
      </c>
      <c r="AG3" s="47">
        <v>18594</v>
      </c>
      <c r="AH3" s="47">
        <v>14335</v>
      </c>
      <c r="AI3" s="47">
        <v>21783</v>
      </c>
      <c r="AJ3" s="47">
        <f>'[31]Export par type'!$D$5</f>
        <v>17122.666000000001</v>
      </c>
      <c r="AK3" s="47">
        <v>16235</v>
      </c>
      <c r="AL3" s="46" t="s">
        <v>114</v>
      </c>
      <c r="AM3" s="47">
        <v>15843</v>
      </c>
      <c r="AN3" s="47">
        <v>20500</v>
      </c>
    </row>
    <row r="4" spans="1:40" ht="27.75" x14ac:dyDescent="0.65">
      <c r="B4" s="3" t="s">
        <v>10</v>
      </c>
      <c r="D4" s="42" t="s">
        <v>228</v>
      </c>
      <c r="E4" s="75" t="s">
        <v>246</v>
      </c>
      <c r="F4">
        <v>3</v>
      </c>
      <c r="G4">
        <v>3</v>
      </c>
      <c r="H4">
        <v>1</v>
      </c>
      <c r="I4" s="48" t="s">
        <v>231</v>
      </c>
      <c r="J4" s="46" t="s">
        <v>25</v>
      </c>
      <c r="K4" s="49">
        <v>106631</v>
      </c>
      <c r="L4" s="49">
        <v>91140</v>
      </c>
      <c r="M4" s="49">
        <v>74571</v>
      </c>
      <c r="N4" s="49">
        <v>37977</v>
      </c>
      <c r="O4" s="49">
        <v>43378</v>
      </c>
      <c r="P4" s="49">
        <v>43038</v>
      </c>
      <c r="Q4" s="49">
        <v>55980</v>
      </c>
      <c r="R4" s="49">
        <v>48711</v>
      </c>
      <c r="S4" s="49">
        <v>58397</v>
      </c>
      <c r="T4" s="49">
        <v>71664</v>
      </c>
      <c r="U4" s="49">
        <v>78699</v>
      </c>
      <c r="V4" s="49">
        <v>90080</v>
      </c>
      <c r="W4" s="49">
        <v>85130</v>
      </c>
      <c r="X4" s="49">
        <v>95609</v>
      </c>
      <c r="Y4" s="49">
        <v>70364</v>
      </c>
      <c r="Z4" s="47">
        <v>70139</v>
      </c>
      <c r="AA4" s="47">
        <v>94385</v>
      </c>
      <c r="AB4" s="47">
        <v>121929</v>
      </c>
      <c r="AC4" s="47">
        <v>77414</v>
      </c>
      <c r="AD4" s="47">
        <v>72478</v>
      </c>
      <c r="AE4" s="47">
        <v>79578</v>
      </c>
      <c r="AF4" s="47">
        <v>67797</v>
      </c>
      <c r="AG4" s="47">
        <v>95193</v>
      </c>
      <c r="AH4" s="47">
        <v>82731</v>
      </c>
      <c r="AI4" s="47">
        <v>118441</v>
      </c>
      <c r="AJ4" s="47">
        <f>'[31]Export par type'!$F$5</f>
        <v>67748.964000000007</v>
      </c>
      <c r="AK4" s="47">
        <v>78478</v>
      </c>
      <c r="AL4" s="47">
        <v>96749</v>
      </c>
      <c r="AM4" s="47">
        <v>74848</v>
      </c>
      <c r="AN4" s="47">
        <v>92320</v>
      </c>
    </row>
    <row r="5" spans="1:40" ht="27.75" x14ac:dyDescent="0.65">
      <c r="B5" s="3" t="s">
        <v>10</v>
      </c>
      <c r="D5" s="42" t="s">
        <v>228</v>
      </c>
      <c r="E5" s="75" t="s">
        <v>246</v>
      </c>
      <c r="F5">
        <v>4</v>
      </c>
      <c r="G5">
        <v>4</v>
      </c>
      <c r="I5" s="45" t="s">
        <v>115</v>
      </c>
      <c r="J5" s="46" t="s">
        <v>25</v>
      </c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1"/>
      <c r="W5" s="51"/>
      <c r="X5" s="51"/>
      <c r="Y5" s="51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</row>
    <row r="6" spans="1:40" ht="27.75" x14ac:dyDescent="0.65">
      <c r="B6" s="3" t="s">
        <v>10</v>
      </c>
      <c r="D6" s="42" t="s">
        <v>228</v>
      </c>
      <c r="E6" s="75" t="s">
        <v>246</v>
      </c>
      <c r="F6">
        <v>5</v>
      </c>
      <c r="G6">
        <v>5</v>
      </c>
      <c r="H6">
        <v>4</v>
      </c>
      <c r="I6" s="48" t="s">
        <v>113</v>
      </c>
      <c r="J6" s="46" t="s">
        <v>25</v>
      </c>
      <c r="K6" s="51">
        <v>16325</v>
      </c>
      <c r="L6" s="51">
        <v>17665</v>
      </c>
      <c r="M6" s="51">
        <v>14424</v>
      </c>
      <c r="N6" s="51">
        <v>15594</v>
      </c>
      <c r="O6" s="51">
        <v>17279</v>
      </c>
      <c r="P6" s="51">
        <v>21456</v>
      </c>
      <c r="Q6" s="51">
        <v>24149</v>
      </c>
      <c r="R6" s="51">
        <v>21300</v>
      </c>
      <c r="S6" s="51">
        <v>15864</v>
      </c>
      <c r="T6" s="51">
        <v>19404</v>
      </c>
      <c r="U6" s="51">
        <v>19372</v>
      </c>
      <c r="V6" s="49">
        <v>18439</v>
      </c>
      <c r="W6" s="49">
        <v>22070</v>
      </c>
      <c r="X6" s="49">
        <v>19421</v>
      </c>
      <c r="Y6" s="49">
        <v>37262</v>
      </c>
      <c r="Z6" s="47">
        <v>23417</v>
      </c>
      <c r="AA6" s="47">
        <v>29941</v>
      </c>
      <c r="AB6" s="47">
        <v>35002</v>
      </c>
      <c r="AC6" s="47">
        <v>42923</v>
      </c>
      <c r="AD6" s="47">
        <v>44988</v>
      </c>
      <c r="AE6" s="47">
        <v>58921</v>
      </c>
      <c r="AF6" s="47">
        <v>70786</v>
      </c>
      <c r="AG6" s="47">
        <v>73062</v>
      </c>
      <c r="AH6" s="47">
        <v>97195</v>
      </c>
      <c r="AI6" s="47">
        <v>101612</v>
      </c>
      <c r="AJ6" s="47">
        <f>'[31]Export par type'!$D$6</f>
        <v>309837.53899999999</v>
      </c>
      <c r="AK6" s="47">
        <v>146759</v>
      </c>
      <c r="AL6" s="47">
        <v>155290</v>
      </c>
      <c r="AM6" s="47">
        <v>156299</v>
      </c>
      <c r="AN6" s="47">
        <v>166395</v>
      </c>
    </row>
    <row r="7" spans="1:40" ht="27.75" x14ac:dyDescent="0.65">
      <c r="B7" s="3" t="s">
        <v>10</v>
      </c>
      <c r="D7" s="42" t="s">
        <v>228</v>
      </c>
      <c r="E7" s="75" t="s">
        <v>246</v>
      </c>
      <c r="F7">
        <v>6</v>
      </c>
      <c r="G7">
        <v>6</v>
      </c>
      <c r="H7">
        <v>4</v>
      </c>
      <c r="I7" s="48" t="s">
        <v>231</v>
      </c>
      <c r="J7" s="46" t="s">
        <v>25</v>
      </c>
      <c r="K7" s="49">
        <v>65903</v>
      </c>
      <c r="L7" s="49">
        <v>68852</v>
      </c>
      <c r="M7" s="49">
        <v>56703</v>
      </c>
      <c r="N7" s="49">
        <v>44820</v>
      </c>
      <c r="O7" s="49">
        <v>44265</v>
      </c>
      <c r="P7" s="49">
        <v>47073</v>
      </c>
      <c r="Q7" s="49">
        <v>59867</v>
      </c>
      <c r="R7" s="49">
        <v>69477</v>
      </c>
      <c r="S7" s="49">
        <v>55831</v>
      </c>
      <c r="T7" s="49">
        <v>80330</v>
      </c>
      <c r="U7" s="49">
        <v>64332</v>
      </c>
      <c r="V7" s="49">
        <v>67289</v>
      </c>
      <c r="W7" s="49">
        <v>112857</v>
      </c>
      <c r="X7" s="49">
        <v>123422</v>
      </c>
      <c r="Y7" s="49">
        <v>152178</v>
      </c>
      <c r="Z7" s="47">
        <v>122798</v>
      </c>
      <c r="AA7" s="47">
        <v>206156</v>
      </c>
      <c r="AB7" s="47">
        <v>222152</v>
      </c>
      <c r="AC7" s="47">
        <v>164240</v>
      </c>
      <c r="AD7" s="47">
        <v>201560</v>
      </c>
      <c r="AE7" s="47">
        <v>188486</v>
      </c>
      <c r="AF7" s="47">
        <v>235401</v>
      </c>
      <c r="AG7" s="47">
        <v>321189</v>
      </c>
      <c r="AH7" s="47">
        <v>415004</v>
      </c>
      <c r="AI7" s="47">
        <v>389117</v>
      </c>
      <c r="AJ7" s="47">
        <f>'[31]Export par type'!$F$6</f>
        <v>473963.38299999997</v>
      </c>
      <c r="AK7" s="47">
        <v>380120</v>
      </c>
      <c r="AL7" s="47">
        <v>482461</v>
      </c>
      <c r="AM7" s="47">
        <v>372767</v>
      </c>
      <c r="AN7" s="47">
        <v>469019</v>
      </c>
    </row>
    <row r="8" spans="1:40" ht="27.75" x14ac:dyDescent="0.65">
      <c r="B8" s="3" t="s">
        <v>10</v>
      </c>
      <c r="D8" s="42" t="s">
        <v>228</v>
      </c>
      <c r="E8" s="75" t="s">
        <v>246</v>
      </c>
      <c r="F8">
        <v>7</v>
      </c>
      <c r="G8">
        <v>7</v>
      </c>
      <c r="I8" s="45" t="s">
        <v>116</v>
      </c>
      <c r="J8" s="46" t="s">
        <v>25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  <c r="W8" s="51"/>
      <c r="X8" s="51"/>
      <c r="Y8" s="51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 ht="27.75" x14ac:dyDescent="0.65">
      <c r="B9" s="3" t="s">
        <v>10</v>
      </c>
      <c r="D9" s="42" t="s">
        <v>228</v>
      </c>
      <c r="E9" s="75" t="s">
        <v>246</v>
      </c>
      <c r="F9">
        <v>8</v>
      </c>
      <c r="G9">
        <v>8</v>
      </c>
      <c r="H9">
        <v>7</v>
      </c>
      <c r="I9" s="48" t="s">
        <v>113</v>
      </c>
      <c r="J9" s="46" t="s">
        <v>25</v>
      </c>
      <c r="K9" s="49">
        <v>42887</v>
      </c>
      <c r="L9" s="49">
        <v>42104</v>
      </c>
      <c r="M9" s="49">
        <v>34487</v>
      </c>
      <c r="N9" s="49">
        <v>27428</v>
      </c>
      <c r="O9" s="49">
        <v>33245</v>
      </c>
      <c r="P9" s="49">
        <v>39273</v>
      </c>
      <c r="Q9" s="49">
        <v>48092</v>
      </c>
      <c r="R9" s="49">
        <v>40255</v>
      </c>
      <c r="S9" s="49">
        <v>34610</v>
      </c>
      <c r="T9" s="49">
        <v>39311</v>
      </c>
      <c r="U9" s="49">
        <v>42753</v>
      </c>
      <c r="V9" s="49">
        <v>41989</v>
      </c>
      <c r="W9" s="49">
        <v>43884</v>
      </c>
      <c r="X9" s="49">
        <v>37341</v>
      </c>
      <c r="Y9" s="49">
        <v>56949</v>
      </c>
      <c r="Z9" s="47">
        <v>48149</v>
      </c>
      <c r="AA9" s="47">
        <v>47628</v>
      </c>
      <c r="AB9" s="47">
        <v>56809</v>
      </c>
      <c r="AC9" s="47">
        <v>66759</v>
      </c>
      <c r="AD9" s="47">
        <v>62556</v>
      </c>
      <c r="AE9" s="47">
        <v>80119</v>
      </c>
      <c r="AF9" s="47">
        <v>90849</v>
      </c>
      <c r="AG9" s="47">
        <v>91656</v>
      </c>
      <c r="AH9" s="47">
        <v>111530</v>
      </c>
      <c r="AI9" s="47">
        <v>123395</v>
      </c>
      <c r="AJ9" s="47">
        <f>AJ3+AJ6</f>
        <v>326960.20500000002</v>
      </c>
      <c r="AK9" s="47">
        <v>162994</v>
      </c>
      <c r="AL9" s="47">
        <v>172012</v>
      </c>
      <c r="AM9" s="47">
        <v>172142</v>
      </c>
      <c r="AN9" s="47">
        <v>186895</v>
      </c>
    </row>
    <row r="10" spans="1:40" ht="27.75" x14ac:dyDescent="0.65">
      <c r="B10" s="3" t="s">
        <v>10</v>
      </c>
      <c r="D10" s="42" t="s">
        <v>228</v>
      </c>
      <c r="E10" s="75" t="s">
        <v>246</v>
      </c>
      <c r="F10">
        <v>9</v>
      </c>
      <c r="G10">
        <v>9</v>
      </c>
      <c r="H10">
        <v>7</v>
      </c>
      <c r="I10" s="48" t="s">
        <v>231</v>
      </c>
      <c r="J10" s="46" t="s">
        <v>25</v>
      </c>
      <c r="K10" s="51">
        <v>172534</v>
      </c>
      <c r="L10" s="51">
        <v>159992</v>
      </c>
      <c r="M10" s="51">
        <v>131274</v>
      </c>
      <c r="N10" s="51">
        <v>82797</v>
      </c>
      <c r="O10" s="51">
        <v>87643</v>
      </c>
      <c r="P10" s="51">
        <v>90111</v>
      </c>
      <c r="Q10" s="51">
        <v>115847</v>
      </c>
      <c r="R10" s="51">
        <v>118188</v>
      </c>
      <c r="S10" s="51">
        <v>114228</v>
      </c>
      <c r="T10" s="51">
        <v>151994</v>
      </c>
      <c r="U10" s="51">
        <v>143031</v>
      </c>
      <c r="V10" s="49">
        <v>157369</v>
      </c>
      <c r="W10" s="49">
        <v>197987</v>
      </c>
      <c r="X10" s="49">
        <v>219031</v>
      </c>
      <c r="Y10" s="49">
        <v>222542</v>
      </c>
      <c r="Z10" s="47">
        <v>192937</v>
      </c>
      <c r="AA10" s="47">
        <v>300541</v>
      </c>
      <c r="AB10" s="47">
        <v>344081</v>
      </c>
      <c r="AC10" s="47">
        <v>241654</v>
      </c>
      <c r="AD10" s="47">
        <v>274038</v>
      </c>
      <c r="AE10" s="47">
        <v>268064</v>
      </c>
      <c r="AF10" s="47">
        <v>303198</v>
      </c>
      <c r="AG10" s="47">
        <v>416382</v>
      </c>
      <c r="AH10" s="47">
        <v>497735</v>
      </c>
      <c r="AI10" s="47">
        <v>507558</v>
      </c>
      <c r="AJ10" s="47">
        <f>AJ4+AJ7</f>
        <v>541712.34699999995</v>
      </c>
      <c r="AK10" s="47">
        <v>458598</v>
      </c>
      <c r="AL10" s="52">
        <v>579210</v>
      </c>
      <c r="AM10" s="47">
        <v>447615</v>
      </c>
      <c r="AN10" s="47">
        <v>561339</v>
      </c>
    </row>
    <row r="11" spans="1:40" ht="27.75" x14ac:dyDescent="0.65">
      <c r="J11" s="44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7089-E406-461E-9DFD-9B899C45AF3F}">
  <sheetPr>
    <tabColor rgb="FFFFFF00"/>
  </sheetPr>
  <dimension ref="A1:AN22"/>
  <sheetViews>
    <sheetView zoomScale="41" workbookViewId="0">
      <selection activeCell="E2" sqref="E2:E22"/>
    </sheetView>
  </sheetViews>
  <sheetFormatPr baseColWidth="10" defaultRowHeight="15" x14ac:dyDescent="0.25"/>
  <cols>
    <col min="2" max="2" width="33" customWidth="1"/>
    <col min="9" max="9" width="42.5703125" customWidth="1"/>
    <col min="10" max="10" width="26.7109375" customWidth="1"/>
    <col min="11" max="12" width="17.5703125" bestFit="1" customWidth="1"/>
    <col min="13" max="13" width="16.140625" bestFit="1" customWidth="1"/>
    <col min="14" max="19" width="15.42578125" bestFit="1" customWidth="1"/>
    <col min="20" max="20" width="14.140625" bestFit="1" customWidth="1"/>
    <col min="21" max="21" width="14.7109375" bestFit="1" customWidth="1"/>
    <col min="22" max="22" width="15.42578125" bestFit="1" customWidth="1"/>
    <col min="23" max="25" width="13.7109375" bestFit="1" customWidth="1"/>
    <col min="26" max="39" width="11.7109375" bestFit="1" customWidth="1"/>
  </cols>
  <sheetData>
    <row r="1" spans="1:40" ht="30.7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2">
        <v>1995</v>
      </c>
      <c r="L1" s="2">
        <v>1996</v>
      </c>
      <c r="M1" s="2">
        <v>1997</v>
      </c>
      <c r="N1" s="2">
        <v>1998</v>
      </c>
      <c r="O1" s="2">
        <v>1999</v>
      </c>
      <c r="P1" s="2">
        <v>2000</v>
      </c>
      <c r="Q1" s="2">
        <v>2001</v>
      </c>
      <c r="R1" s="2">
        <v>2002</v>
      </c>
      <c r="S1" s="2">
        <v>2003</v>
      </c>
      <c r="T1" s="2">
        <v>2004</v>
      </c>
      <c r="U1" s="2">
        <v>2005</v>
      </c>
      <c r="V1" s="2">
        <v>2006</v>
      </c>
      <c r="W1" s="2">
        <v>2007</v>
      </c>
      <c r="X1" s="2">
        <v>2008</v>
      </c>
      <c r="Y1" s="2">
        <v>2009</v>
      </c>
      <c r="Z1" s="2">
        <v>2010</v>
      </c>
      <c r="AA1" s="2">
        <v>2011</v>
      </c>
      <c r="AB1" s="2">
        <v>2012</v>
      </c>
      <c r="AC1" s="2">
        <v>2013</v>
      </c>
      <c r="AD1" s="2">
        <v>2014</v>
      </c>
      <c r="AE1" s="2">
        <v>2015</v>
      </c>
      <c r="AF1" s="2">
        <v>2016</v>
      </c>
      <c r="AG1" s="2">
        <v>2017</v>
      </c>
      <c r="AH1" s="2">
        <v>2018</v>
      </c>
      <c r="AI1" s="2">
        <v>2019</v>
      </c>
      <c r="AJ1" s="2">
        <v>2020</v>
      </c>
      <c r="AK1" s="2">
        <v>2021</v>
      </c>
      <c r="AL1" s="2">
        <v>2022</v>
      </c>
      <c r="AM1" s="2">
        <v>2023</v>
      </c>
      <c r="AN1" s="2">
        <v>2024</v>
      </c>
    </row>
    <row r="2" spans="1:40" ht="28.5" thickBot="1" x14ac:dyDescent="0.7">
      <c r="B2" s="3" t="s">
        <v>10</v>
      </c>
      <c r="D2" s="54" t="s">
        <v>229</v>
      </c>
      <c r="E2" s="76" t="s">
        <v>246</v>
      </c>
      <c r="F2">
        <v>1</v>
      </c>
      <c r="G2">
        <v>1</v>
      </c>
      <c r="I2" s="55" t="s">
        <v>117</v>
      </c>
      <c r="J2" s="56" t="s">
        <v>25</v>
      </c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9"/>
    </row>
    <row r="3" spans="1:40" ht="28.5" thickBot="1" x14ac:dyDescent="0.6">
      <c r="B3" s="3" t="s">
        <v>10</v>
      </c>
      <c r="D3" s="54" t="s">
        <v>229</v>
      </c>
      <c r="E3" s="76" t="s">
        <v>246</v>
      </c>
      <c r="F3">
        <v>2</v>
      </c>
      <c r="G3">
        <v>2</v>
      </c>
      <c r="H3">
        <v>1</v>
      </c>
      <c r="I3" s="60" t="s">
        <v>118</v>
      </c>
      <c r="J3" s="56" t="s">
        <v>25</v>
      </c>
      <c r="K3" s="60">
        <v>42887</v>
      </c>
      <c r="L3" s="60">
        <v>42104</v>
      </c>
      <c r="M3" s="60">
        <v>34487</v>
      </c>
      <c r="N3" s="60">
        <v>27428</v>
      </c>
      <c r="O3" s="60">
        <v>33245</v>
      </c>
      <c r="P3" s="60">
        <v>39273</v>
      </c>
      <c r="Q3" s="60">
        <v>48092</v>
      </c>
      <c r="R3" s="60">
        <v>40255</v>
      </c>
      <c r="S3" s="60">
        <v>34610</v>
      </c>
      <c r="T3" s="61">
        <v>39311</v>
      </c>
      <c r="U3" s="61">
        <v>42753</v>
      </c>
      <c r="V3" s="61">
        <v>44073</v>
      </c>
      <c r="W3" s="61">
        <v>43884</v>
      </c>
      <c r="X3" s="61">
        <v>37341</v>
      </c>
      <c r="Y3" s="61">
        <v>56949</v>
      </c>
      <c r="Z3" s="61">
        <v>48149</v>
      </c>
      <c r="AA3" s="59">
        <v>47628</v>
      </c>
      <c r="AB3" s="59">
        <v>56809</v>
      </c>
      <c r="AC3" s="59">
        <v>66759</v>
      </c>
      <c r="AD3" s="59">
        <v>62556</v>
      </c>
      <c r="AE3" s="59">
        <v>80119</v>
      </c>
      <c r="AF3" s="59">
        <v>90849</v>
      </c>
      <c r="AG3" s="59">
        <v>91656</v>
      </c>
      <c r="AH3" s="59">
        <v>111530</v>
      </c>
      <c r="AI3" s="59">
        <v>123395</v>
      </c>
      <c r="AJ3" s="59">
        <v>136887</v>
      </c>
      <c r="AK3" s="59">
        <v>162994</v>
      </c>
      <c r="AL3" s="59">
        <v>76520.2</v>
      </c>
      <c r="AM3" s="59">
        <v>172142</v>
      </c>
      <c r="AN3" s="59">
        <v>229073</v>
      </c>
    </row>
    <row r="4" spans="1:40" ht="28.5" thickBot="1" x14ac:dyDescent="0.6">
      <c r="B4" s="3" t="s">
        <v>10</v>
      </c>
      <c r="D4" s="54" t="s">
        <v>229</v>
      </c>
      <c r="E4" s="76" t="s">
        <v>246</v>
      </c>
      <c r="F4">
        <v>3</v>
      </c>
      <c r="G4">
        <v>3</v>
      </c>
      <c r="H4">
        <v>2</v>
      </c>
      <c r="I4" s="60" t="s">
        <v>119</v>
      </c>
      <c r="J4" s="56" t="s">
        <v>25</v>
      </c>
      <c r="K4" s="62">
        <v>8365</v>
      </c>
      <c r="L4" s="62">
        <v>12784</v>
      </c>
      <c r="M4" s="62">
        <v>9282</v>
      </c>
      <c r="N4" s="62">
        <v>7256</v>
      </c>
      <c r="O4" s="62">
        <v>5864</v>
      </c>
      <c r="P4" s="62">
        <v>8562</v>
      </c>
      <c r="Q4" s="62">
        <v>10610</v>
      </c>
      <c r="R4" s="62">
        <v>10512</v>
      </c>
      <c r="S4" s="62">
        <v>7700</v>
      </c>
      <c r="T4" s="61">
        <v>7915</v>
      </c>
      <c r="U4" s="61">
        <v>7486</v>
      </c>
      <c r="V4" s="61">
        <v>6750</v>
      </c>
      <c r="W4" s="61">
        <v>8411</v>
      </c>
      <c r="X4" s="61">
        <v>3829</v>
      </c>
      <c r="Y4" s="61">
        <v>4256</v>
      </c>
      <c r="Z4" s="61">
        <v>9537</v>
      </c>
      <c r="AA4" s="59">
        <f>5811+2194</f>
        <v>8005</v>
      </c>
      <c r="AB4" s="59">
        <f>4551+2410</f>
        <v>6961</v>
      </c>
      <c r="AC4" s="59">
        <v>10163</v>
      </c>
      <c r="AD4" s="59">
        <f>6382+2256</f>
        <v>8638</v>
      </c>
      <c r="AE4" s="59">
        <f>7078+3809</f>
        <v>10887</v>
      </c>
      <c r="AF4" s="59">
        <v>19888</v>
      </c>
      <c r="AG4" s="59">
        <v>20002</v>
      </c>
      <c r="AH4" s="59">
        <v>27015</v>
      </c>
      <c r="AI4" s="59">
        <v>20767</v>
      </c>
      <c r="AJ4" s="59">
        <v>21177</v>
      </c>
      <c r="AK4" s="59">
        <v>27393</v>
      </c>
      <c r="AL4" s="59">
        <v>23157</v>
      </c>
      <c r="AM4" s="59">
        <v>20129</v>
      </c>
      <c r="AN4" s="59">
        <v>21386</v>
      </c>
    </row>
    <row r="5" spans="1:40" ht="28.5" thickBot="1" x14ac:dyDescent="0.6">
      <c r="B5" s="3" t="s">
        <v>10</v>
      </c>
      <c r="D5" s="54" t="s">
        <v>229</v>
      </c>
      <c r="E5" s="76" t="s">
        <v>246</v>
      </c>
      <c r="F5">
        <v>4</v>
      </c>
      <c r="G5">
        <v>4</v>
      </c>
      <c r="H5">
        <v>2</v>
      </c>
      <c r="I5" s="63" t="s">
        <v>120</v>
      </c>
      <c r="J5" s="56" t="s">
        <v>25</v>
      </c>
      <c r="K5" s="64">
        <v>1250</v>
      </c>
      <c r="L5" s="64">
        <v>949</v>
      </c>
      <c r="M5" s="64">
        <v>1053</v>
      </c>
      <c r="N5" s="64">
        <v>407</v>
      </c>
      <c r="O5" s="64">
        <v>847</v>
      </c>
      <c r="P5" s="64">
        <v>2188</v>
      </c>
      <c r="Q5" s="64">
        <v>3344</v>
      </c>
      <c r="R5" s="64">
        <v>4076</v>
      </c>
      <c r="S5" s="64">
        <v>5127</v>
      </c>
      <c r="T5" s="61">
        <v>5073</v>
      </c>
      <c r="U5" s="61">
        <v>6348</v>
      </c>
      <c r="V5" s="61">
        <v>5275</v>
      </c>
      <c r="W5" s="61">
        <v>6413</v>
      </c>
      <c r="X5" s="61">
        <v>4070</v>
      </c>
      <c r="Y5" s="61">
        <v>4347</v>
      </c>
      <c r="Z5" s="61">
        <v>5405</v>
      </c>
      <c r="AA5" s="59">
        <v>7213</v>
      </c>
      <c r="AB5" s="59">
        <v>5041</v>
      </c>
      <c r="AC5" s="59">
        <v>7749</v>
      </c>
      <c r="AD5" s="59">
        <v>16579</v>
      </c>
      <c r="AE5" s="59">
        <v>24581</v>
      </c>
      <c r="AF5" s="59">
        <v>28880</v>
      </c>
      <c r="AG5" s="59">
        <v>22069</v>
      </c>
      <c r="AH5" s="59">
        <v>42777</v>
      </c>
      <c r="AI5" s="59">
        <v>40002</v>
      </c>
      <c r="AJ5" s="59">
        <v>69719</v>
      </c>
      <c r="AK5" s="59">
        <v>94101</v>
      </c>
      <c r="AL5" s="59"/>
      <c r="AM5" s="59">
        <v>98440</v>
      </c>
      <c r="AN5" s="59">
        <v>105021</v>
      </c>
    </row>
    <row r="6" spans="1:40" ht="28.5" thickBot="1" x14ac:dyDescent="0.6">
      <c r="B6" s="3" t="s">
        <v>10</v>
      </c>
      <c r="D6" s="54" t="s">
        <v>229</v>
      </c>
      <c r="E6" s="76" t="s">
        <v>246</v>
      </c>
      <c r="F6">
        <v>5</v>
      </c>
      <c r="G6">
        <v>5</v>
      </c>
      <c r="H6">
        <v>2</v>
      </c>
      <c r="I6" s="63" t="s">
        <v>121</v>
      </c>
      <c r="J6" s="56" t="s">
        <v>25</v>
      </c>
      <c r="K6" s="64">
        <v>110</v>
      </c>
      <c r="L6" s="64">
        <v>283</v>
      </c>
      <c r="M6" s="64">
        <v>637</v>
      </c>
      <c r="N6" s="64">
        <v>421</v>
      </c>
      <c r="O6" s="64">
        <v>354</v>
      </c>
      <c r="P6" s="64">
        <v>815</v>
      </c>
      <c r="Q6" s="64">
        <v>1290</v>
      </c>
      <c r="R6" s="64">
        <v>1491</v>
      </c>
      <c r="S6" s="64">
        <v>1695</v>
      </c>
      <c r="T6" s="61">
        <v>1102</v>
      </c>
      <c r="U6" s="61">
        <v>1029</v>
      </c>
      <c r="V6" s="61">
        <v>1731</v>
      </c>
      <c r="W6" s="61">
        <v>1108</v>
      </c>
      <c r="X6" s="61">
        <v>441</v>
      </c>
      <c r="Y6" s="61">
        <v>350</v>
      </c>
      <c r="Z6" s="61">
        <v>517</v>
      </c>
      <c r="AA6" s="59">
        <v>698</v>
      </c>
      <c r="AB6" s="59">
        <v>607</v>
      </c>
      <c r="AC6" s="59">
        <v>759</v>
      </c>
      <c r="AD6" s="59">
        <v>727</v>
      </c>
      <c r="AE6" s="59">
        <v>1030</v>
      </c>
      <c r="AF6" s="59">
        <v>915</v>
      </c>
      <c r="AG6" s="59">
        <v>1063.203</v>
      </c>
      <c r="AH6" s="59">
        <v>680</v>
      </c>
      <c r="AI6" s="59">
        <v>1157</v>
      </c>
      <c r="AJ6" s="59">
        <v>719</v>
      </c>
      <c r="AK6" s="59">
        <v>724</v>
      </c>
      <c r="AL6" s="59">
        <v>781</v>
      </c>
      <c r="AM6" s="59">
        <v>556</v>
      </c>
      <c r="AN6" s="59">
        <v>390</v>
      </c>
    </row>
    <row r="7" spans="1:40" ht="28.5" thickBot="1" x14ac:dyDescent="0.7">
      <c r="B7" s="3" t="s">
        <v>10</v>
      </c>
      <c r="D7" s="54" t="s">
        <v>229</v>
      </c>
      <c r="E7" s="76" t="s">
        <v>246</v>
      </c>
      <c r="F7">
        <v>6</v>
      </c>
      <c r="G7">
        <v>6</v>
      </c>
      <c r="H7">
        <v>2</v>
      </c>
      <c r="I7" s="63" t="s">
        <v>218</v>
      </c>
      <c r="J7" s="56" t="s">
        <v>25</v>
      </c>
      <c r="K7" s="64"/>
      <c r="L7" s="64"/>
      <c r="M7" s="64"/>
      <c r="N7" s="64"/>
      <c r="O7" s="64"/>
      <c r="P7" s="64"/>
      <c r="Q7" s="64"/>
      <c r="R7" s="64"/>
      <c r="S7" s="64"/>
      <c r="T7" s="10"/>
      <c r="U7" s="10"/>
      <c r="V7" s="10"/>
      <c r="W7" s="10"/>
      <c r="X7" s="10"/>
      <c r="Y7" s="10"/>
      <c r="Z7" s="61">
        <v>5252</v>
      </c>
      <c r="AA7" s="59">
        <v>5256</v>
      </c>
      <c r="AB7" s="59">
        <v>3889</v>
      </c>
      <c r="AC7" s="59">
        <v>7324</v>
      </c>
      <c r="AD7" s="59">
        <v>3856</v>
      </c>
      <c r="AE7" s="59">
        <v>3466</v>
      </c>
      <c r="AF7" s="59">
        <v>4097</v>
      </c>
      <c r="AG7" s="59">
        <v>3141</v>
      </c>
      <c r="AH7" s="59">
        <v>5833</v>
      </c>
      <c r="AI7" s="59">
        <v>7952</v>
      </c>
      <c r="AJ7" s="59">
        <v>4698</v>
      </c>
      <c r="AK7" s="59">
        <v>8020</v>
      </c>
      <c r="AL7" s="59">
        <v>8796</v>
      </c>
      <c r="AM7" s="59">
        <v>16157</v>
      </c>
      <c r="AN7" s="59">
        <v>16348</v>
      </c>
    </row>
    <row r="8" spans="1:40" ht="28.5" thickBot="1" x14ac:dyDescent="0.7">
      <c r="B8" s="3" t="s">
        <v>10</v>
      </c>
      <c r="D8" s="54" t="s">
        <v>229</v>
      </c>
      <c r="E8" s="76" t="s">
        <v>246</v>
      </c>
      <c r="F8">
        <v>7</v>
      </c>
      <c r="G8">
        <v>7</v>
      </c>
      <c r="H8">
        <v>2</v>
      </c>
      <c r="I8" s="63" t="s">
        <v>122</v>
      </c>
      <c r="J8" s="56" t="s">
        <v>25</v>
      </c>
      <c r="K8" s="64"/>
      <c r="L8" s="64"/>
      <c r="M8" s="64"/>
      <c r="N8" s="64"/>
      <c r="O8" s="64"/>
      <c r="P8" s="64"/>
      <c r="Q8" s="64"/>
      <c r="R8" s="64"/>
      <c r="S8" s="64"/>
      <c r="T8" s="10"/>
      <c r="U8" s="10"/>
      <c r="V8" s="10"/>
      <c r="W8" s="10"/>
      <c r="X8" s="10"/>
      <c r="Y8" s="10"/>
      <c r="Z8" s="59"/>
      <c r="AA8" s="59"/>
      <c r="AB8" s="59"/>
      <c r="AC8" s="59"/>
      <c r="AD8" s="59"/>
      <c r="AE8" s="59"/>
      <c r="AF8" s="59"/>
      <c r="AG8" s="59">
        <v>76</v>
      </c>
      <c r="AH8" s="59">
        <v>406</v>
      </c>
      <c r="AI8" s="59">
        <v>453</v>
      </c>
      <c r="AJ8" s="59"/>
      <c r="AK8" s="59">
        <v>957</v>
      </c>
      <c r="AL8" s="59">
        <v>855.2</v>
      </c>
      <c r="AM8" s="59">
        <v>817</v>
      </c>
      <c r="AN8" s="59">
        <v>786</v>
      </c>
    </row>
    <row r="9" spans="1:40" ht="28.5" thickBot="1" x14ac:dyDescent="0.6">
      <c r="B9" s="3" t="s">
        <v>10</v>
      </c>
      <c r="D9" s="54" t="s">
        <v>229</v>
      </c>
      <c r="E9" s="76" t="s">
        <v>246</v>
      </c>
      <c r="F9">
        <v>8</v>
      </c>
      <c r="G9">
        <v>8</v>
      </c>
      <c r="H9">
        <v>2</v>
      </c>
      <c r="I9" s="60" t="s">
        <v>219</v>
      </c>
      <c r="J9" s="56" t="s">
        <v>25</v>
      </c>
      <c r="K9" s="62">
        <v>33162</v>
      </c>
      <c r="L9" s="62">
        <v>28088</v>
      </c>
      <c r="M9" s="62">
        <v>23515</v>
      </c>
      <c r="N9" s="62">
        <v>19344</v>
      </c>
      <c r="O9" s="62">
        <v>26180</v>
      </c>
      <c r="P9" s="62">
        <v>27708</v>
      </c>
      <c r="Q9" s="62">
        <v>32848</v>
      </c>
      <c r="R9" s="62">
        <v>24176</v>
      </c>
      <c r="S9" s="62">
        <v>20088</v>
      </c>
      <c r="T9" s="61">
        <v>25221</v>
      </c>
      <c r="U9" s="61">
        <v>27890</v>
      </c>
      <c r="V9" s="61">
        <v>30317</v>
      </c>
      <c r="W9" s="61">
        <v>27952</v>
      </c>
      <c r="X9" s="61">
        <v>29001</v>
      </c>
      <c r="Y9" s="61">
        <v>47996</v>
      </c>
      <c r="Z9" s="61">
        <v>27438</v>
      </c>
      <c r="AA9" s="59">
        <v>26456</v>
      </c>
      <c r="AB9" s="59">
        <v>40311</v>
      </c>
      <c r="AC9" s="59">
        <v>40764</v>
      </c>
      <c r="AD9" s="59">
        <v>32756</v>
      </c>
      <c r="AE9" s="59">
        <v>40155</v>
      </c>
      <c r="AF9" s="59">
        <v>37069</v>
      </c>
      <c r="AG9" s="59">
        <v>45305</v>
      </c>
      <c r="AH9" s="59">
        <v>34819</v>
      </c>
      <c r="AI9" s="59">
        <v>53064</v>
      </c>
      <c r="AJ9" s="59">
        <v>40574</v>
      </c>
      <c r="AK9" s="59">
        <v>31799</v>
      </c>
      <c r="AL9" s="59"/>
      <c r="AM9" s="59">
        <v>36043</v>
      </c>
      <c r="AN9" s="59">
        <v>42964</v>
      </c>
    </row>
    <row r="10" spans="1:40" ht="28.5" thickBot="1" x14ac:dyDescent="0.6">
      <c r="B10" s="3" t="s">
        <v>10</v>
      </c>
      <c r="D10" s="54" t="s">
        <v>229</v>
      </c>
      <c r="E10" s="76" t="s">
        <v>246</v>
      </c>
      <c r="F10">
        <v>9</v>
      </c>
      <c r="G10">
        <v>9</v>
      </c>
      <c r="H10">
        <v>2</v>
      </c>
      <c r="I10" s="60" t="s">
        <v>123</v>
      </c>
      <c r="J10" s="56" t="s">
        <v>25</v>
      </c>
      <c r="K10" s="65">
        <v>26639</v>
      </c>
      <c r="L10" s="65">
        <v>20252</v>
      </c>
      <c r="M10" s="65">
        <v>18556</v>
      </c>
      <c r="N10" s="65">
        <v>13439</v>
      </c>
      <c r="O10" s="65">
        <v>17694</v>
      </c>
      <c r="P10" s="65">
        <v>17381</v>
      </c>
      <c r="Q10" s="65">
        <v>21703</v>
      </c>
      <c r="R10" s="65">
        <v>18488</v>
      </c>
      <c r="S10" s="65">
        <v>15556</v>
      </c>
      <c r="T10" s="61">
        <v>20114</v>
      </c>
      <c r="U10" s="61">
        <v>21868</v>
      </c>
      <c r="V10" s="61">
        <v>25187</v>
      </c>
      <c r="W10" s="61">
        <v>22462</v>
      </c>
      <c r="X10" s="61">
        <v>23581</v>
      </c>
      <c r="Y10" s="61">
        <v>41566</v>
      </c>
      <c r="Z10" s="61">
        <v>23446</v>
      </c>
      <c r="AA10" s="66">
        <v>23556</v>
      </c>
      <c r="AB10" s="59">
        <v>35381</v>
      </c>
      <c r="AC10" s="59">
        <v>32732</v>
      </c>
      <c r="AD10" s="59">
        <v>27708</v>
      </c>
      <c r="AE10" s="59">
        <v>32903</v>
      </c>
      <c r="AF10" s="59">
        <v>30892</v>
      </c>
      <c r="AG10" s="59">
        <v>38549</v>
      </c>
      <c r="AH10" s="59">
        <v>29974</v>
      </c>
      <c r="AI10" s="59">
        <v>38826</v>
      </c>
      <c r="AJ10" s="59">
        <v>31164</v>
      </c>
      <c r="AK10" s="59">
        <v>25210</v>
      </c>
      <c r="AL10" s="59">
        <v>38909</v>
      </c>
      <c r="AM10" s="59">
        <v>29701</v>
      </c>
      <c r="AN10" s="59">
        <v>36707</v>
      </c>
    </row>
    <row r="11" spans="1:40" ht="28.5" thickBot="1" x14ac:dyDescent="0.6">
      <c r="B11" s="3" t="s">
        <v>10</v>
      </c>
      <c r="D11" s="54" t="s">
        <v>229</v>
      </c>
      <c r="E11" s="76" t="s">
        <v>246</v>
      </c>
      <c r="F11">
        <v>10</v>
      </c>
      <c r="G11">
        <v>10</v>
      </c>
      <c r="H11">
        <v>2</v>
      </c>
      <c r="I11" s="60" t="s">
        <v>124</v>
      </c>
      <c r="J11" s="56" t="s">
        <v>25</v>
      </c>
      <c r="K11" s="65">
        <v>4445</v>
      </c>
      <c r="L11" s="65">
        <v>5365</v>
      </c>
      <c r="M11" s="65">
        <v>3613</v>
      </c>
      <c r="N11" s="65">
        <v>3753</v>
      </c>
      <c r="O11" s="65">
        <v>6090</v>
      </c>
      <c r="P11" s="65">
        <v>7062</v>
      </c>
      <c r="Q11" s="65">
        <v>7332</v>
      </c>
      <c r="R11" s="65">
        <v>4113</v>
      </c>
      <c r="S11" s="65">
        <v>3854</v>
      </c>
      <c r="T11" s="61">
        <v>4524</v>
      </c>
      <c r="U11" s="61">
        <v>5252</v>
      </c>
      <c r="V11" s="61">
        <v>4671</v>
      </c>
      <c r="W11" s="61">
        <v>4748</v>
      </c>
      <c r="X11" s="61">
        <v>3874</v>
      </c>
      <c r="Y11" s="61">
        <v>5384</v>
      </c>
      <c r="Z11" s="61">
        <v>3441</v>
      </c>
      <c r="AA11" s="66">
        <v>2207</v>
      </c>
      <c r="AB11" s="59">
        <v>4094</v>
      </c>
      <c r="AC11" s="59">
        <v>5418</v>
      </c>
      <c r="AD11" s="59">
        <v>2856</v>
      </c>
      <c r="AE11" s="59">
        <v>3834</v>
      </c>
      <c r="AF11" s="59">
        <v>2479</v>
      </c>
      <c r="AG11" s="59">
        <v>2078</v>
      </c>
      <c r="AH11" s="59">
        <v>2130</v>
      </c>
      <c r="AI11" s="59">
        <v>3978</v>
      </c>
      <c r="AJ11" s="59">
        <v>4716</v>
      </c>
      <c r="AK11" s="59">
        <v>2609</v>
      </c>
      <c r="AL11" s="59">
        <v>2079</v>
      </c>
      <c r="AM11" s="59">
        <v>3773</v>
      </c>
      <c r="AN11" s="59">
        <v>2973</v>
      </c>
    </row>
    <row r="12" spans="1:40" ht="28.5" thickBot="1" x14ac:dyDescent="0.6">
      <c r="B12" s="3" t="s">
        <v>10</v>
      </c>
      <c r="D12" s="54" t="s">
        <v>229</v>
      </c>
      <c r="E12" s="76" t="s">
        <v>246</v>
      </c>
      <c r="F12">
        <v>11</v>
      </c>
      <c r="G12">
        <v>11</v>
      </c>
      <c r="H12">
        <v>2</v>
      </c>
      <c r="I12" s="60" t="s">
        <v>220</v>
      </c>
      <c r="J12" s="56" t="s">
        <v>25</v>
      </c>
      <c r="K12" s="65">
        <v>2078</v>
      </c>
      <c r="L12" s="65">
        <v>2471</v>
      </c>
      <c r="M12" s="65">
        <v>1346</v>
      </c>
      <c r="N12" s="65">
        <v>2152</v>
      </c>
      <c r="O12" s="65">
        <v>2396</v>
      </c>
      <c r="P12" s="65">
        <v>3265</v>
      </c>
      <c r="Q12" s="65">
        <v>3813</v>
      </c>
      <c r="R12" s="65">
        <v>1575</v>
      </c>
      <c r="S12" s="65">
        <v>678</v>
      </c>
      <c r="T12" s="61">
        <v>583</v>
      </c>
      <c r="U12" s="61">
        <v>770</v>
      </c>
      <c r="V12" s="61">
        <v>459</v>
      </c>
      <c r="W12" s="61">
        <v>742</v>
      </c>
      <c r="X12" s="61">
        <v>1546</v>
      </c>
      <c r="Y12" s="61">
        <v>1046</v>
      </c>
      <c r="Z12" s="61">
        <v>551</v>
      </c>
      <c r="AA12" s="66">
        <v>693</v>
      </c>
      <c r="AB12" s="59">
        <v>836</v>
      </c>
      <c r="AC12" s="59">
        <v>2614</v>
      </c>
      <c r="AD12" s="59">
        <v>2192</v>
      </c>
      <c r="AE12" s="59">
        <v>3418</v>
      </c>
      <c r="AF12" s="59">
        <v>3698</v>
      </c>
      <c r="AG12" s="59">
        <v>4678</v>
      </c>
      <c r="AH12" s="59">
        <v>2715</v>
      </c>
      <c r="AI12" s="59">
        <v>10260</v>
      </c>
      <c r="AJ12" s="59">
        <v>36450</v>
      </c>
      <c r="AK12" s="59">
        <v>3980</v>
      </c>
      <c r="AL12" s="59">
        <v>1943</v>
      </c>
      <c r="AM12" s="59">
        <v>2569</v>
      </c>
      <c r="AN12" s="59">
        <v>3284</v>
      </c>
    </row>
    <row r="13" spans="1:40" ht="28.5" thickBot="1" x14ac:dyDescent="0.6">
      <c r="B13" s="3" t="s">
        <v>10</v>
      </c>
      <c r="D13" s="54" t="s">
        <v>229</v>
      </c>
      <c r="E13" s="76" t="s">
        <v>246</v>
      </c>
      <c r="F13">
        <v>12</v>
      </c>
      <c r="G13">
        <v>12</v>
      </c>
      <c r="I13" s="67" t="s">
        <v>230</v>
      </c>
      <c r="J13" s="56" t="s">
        <v>25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59"/>
      <c r="AJ13" s="59"/>
      <c r="AK13" s="59"/>
      <c r="AL13" s="59"/>
      <c r="AM13" s="59"/>
      <c r="AN13" s="59"/>
    </row>
    <row r="14" spans="1:40" ht="28.5" thickBot="1" x14ac:dyDescent="0.6">
      <c r="B14" s="3" t="s">
        <v>10</v>
      </c>
      <c r="D14" s="54" t="s">
        <v>229</v>
      </c>
      <c r="E14" s="76" t="s">
        <v>246</v>
      </c>
      <c r="F14">
        <v>13</v>
      </c>
      <c r="G14">
        <v>13</v>
      </c>
      <c r="H14">
        <v>12</v>
      </c>
      <c r="I14" s="60" t="s">
        <v>118</v>
      </c>
      <c r="J14" s="56" t="s">
        <v>25</v>
      </c>
      <c r="K14" s="60">
        <v>172534</v>
      </c>
      <c r="L14" s="60">
        <v>159992</v>
      </c>
      <c r="M14" s="60">
        <v>131274</v>
      </c>
      <c r="N14" s="60">
        <v>82796</v>
      </c>
      <c r="O14" s="60">
        <v>87643</v>
      </c>
      <c r="P14" s="60">
        <v>90111</v>
      </c>
      <c r="Q14" s="60">
        <v>115846</v>
      </c>
      <c r="R14" s="60">
        <v>118188</v>
      </c>
      <c r="S14" s="60">
        <v>114228</v>
      </c>
      <c r="T14" s="66">
        <v>151994</v>
      </c>
      <c r="U14" s="66">
        <v>143031</v>
      </c>
      <c r="V14" s="66">
        <v>268500</v>
      </c>
      <c r="W14" s="66">
        <v>197987</v>
      </c>
      <c r="X14" s="66">
        <v>219031</v>
      </c>
      <c r="Y14" s="66">
        <v>222542</v>
      </c>
      <c r="Z14" s="66">
        <v>192937</v>
      </c>
      <c r="AA14" s="66">
        <v>300541</v>
      </c>
      <c r="AB14" s="66">
        <v>344081</v>
      </c>
      <c r="AC14" s="66">
        <v>241654</v>
      </c>
      <c r="AD14" s="66">
        <v>274038</v>
      </c>
      <c r="AE14" s="66">
        <v>268064</v>
      </c>
      <c r="AF14" s="66">
        <v>303198</v>
      </c>
      <c r="AG14" s="66">
        <v>415647</v>
      </c>
      <c r="AH14" s="66">
        <v>497735</v>
      </c>
      <c r="AI14" s="59">
        <v>507557</v>
      </c>
      <c r="AJ14" s="59">
        <v>345469</v>
      </c>
      <c r="AK14" s="59">
        <v>458598</v>
      </c>
      <c r="AL14" s="59">
        <v>613981</v>
      </c>
      <c r="AM14" s="59">
        <v>439432</v>
      </c>
      <c r="AN14" s="59">
        <v>968839</v>
      </c>
    </row>
    <row r="15" spans="1:40" ht="28.5" thickBot="1" x14ac:dyDescent="0.6">
      <c r="B15" s="3" t="s">
        <v>10</v>
      </c>
      <c r="D15" s="54" t="s">
        <v>229</v>
      </c>
      <c r="E15" s="76" t="s">
        <v>246</v>
      </c>
      <c r="F15">
        <v>14</v>
      </c>
      <c r="G15">
        <v>14</v>
      </c>
      <c r="H15">
        <v>13</v>
      </c>
      <c r="I15" s="60" t="s">
        <v>119</v>
      </c>
      <c r="J15" s="56" t="s">
        <v>25</v>
      </c>
      <c r="K15" s="62">
        <v>13112</v>
      </c>
      <c r="L15" s="62">
        <v>18841</v>
      </c>
      <c r="M15" s="62">
        <v>12257</v>
      </c>
      <c r="N15" s="62">
        <v>8869</v>
      </c>
      <c r="O15" s="62">
        <v>7981</v>
      </c>
      <c r="P15" s="62">
        <v>13194</v>
      </c>
      <c r="Q15" s="62">
        <v>15338</v>
      </c>
      <c r="R15" s="62">
        <v>14029</v>
      </c>
      <c r="S15" s="62">
        <v>8668</v>
      </c>
      <c r="T15" s="61">
        <v>7814</v>
      </c>
      <c r="U15" s="61">
        <v>7150</v>
      </c>
      <c r="V15" s="61">
        <v>115846</v>
      </c>
      <c r="W15" s="61">
        <v>18659</v>
      </c>
      <c r="X15" s="61">
        <v>10723</v>
      </c>
      <c r="Y15" s="61">
        <v>7765</v>
      </c>
      <c r="Z15" s="61">
        <v>13566</v>
      </c>
      <c r="AA15" s="66">
        <v>15049</v>
      </c>
      <c r="AB15" s="66">
        <f>11318+2768</f>
        <v>14086</v>
      </c>
      <c r="AC15" s="66">
        <v>19512</v>
      </c>
      <c r="AD15" s="66">
        <f>16240+5919</f>
        <v>22159</v>
      </c>
      <c r="AE15" s="66">
        <f>12569+4630</f>
        <v>17199</v>
      </c>
      <c r="AF15" s="66">
        <v>22227</v>
      </c>
      <c r="AG15" s="66">
        <v>21641</v>
      </c>
      <c r="AH15" s="66">
        <v>26766</v>
      </c>
      <c r="AI15" s="59">
        <v>19155</v>
      </c>
      <c r="AJ15" s="59">
        <v>18044</v>
      </c>
      <c r="AK15" s="59">
        <v>26603</v>
      </c>
      <c r="AL15" s="59">
        <v>21304</v>
      </c>
      <c r="AM15" s="59">
        <v>19231</v>
      </c>
      <c r="AN15" s="59">
        <v>24369</v>
      </c>
    </row>
    <row r="16" spans="1:40" ht="28.5" thickBot="1" x14ac:dyDescent="0.6">
      <c r="B16" s="3" t="s">
        <v>10</v>
      </c>
      <c r="D16" s="54" t="s">
        <v>229</v>
      </c>
      <c r="E16" s="76" t="s">
        <v>246</v>
      </c>
      <c r="F16">
        <v>15</v>
      </c>
      <c r="G16">
        <v>15</v>
      </c>
      <c r="H16">
        <v>13</v>
      </c>
      <c r="I16" s="63" t="s">
        <v>120</v>
      </c>
      <c r="J16" s="56" t="s">
        <v>25</v>
      </c>
      <c r="K16" s="64">
        <v>485</v>
      </c>
      <c r="L16" s="64">
        <v>488</v>
      </c>
      <c r="M16" s="64">
        <v>545</v>
      </c>
      <c r="N16" s="64">
        <v>208</v>
      </c>
      <c r="O16" s="64">
        <v>461</v>
      </c>
      <c r="P16" s="64">
        <v>1355</v>
      </c>
      <c r="Q16" s="64">
        <v>1725</v>
      </c>
      <c r="R16" s="64">
        <v>1840</v>
      </c>
      <c r="S16" s="64">
        <v>2162</v>
      </c>
      <c r="T16" s="61">
        <v>2084</v>
      </c>
      <c r="U16" s="61">
        <v>2717</v>
      </c>
      <c r="V16" s="61">
        <v>8107</v>
      </c>
      <c r="W16" s="61">
        <v>4327</v>
      </c>
      <c r="X16" s="61">
        <v>2837</v>
      </c>
      <c r="Y16" s="61">
        <v>2583</v>
      </c>
      <c r="Z16" s="61">
        <v>2829</v>
      </c>
      <c r="AA16" s="66">
        <v>4749</v>
      </c>
      <c r="AB16" s="66">
        <v>3354</v>
      </c>
      <c r="AC16" s="66">
        <v>5788</v>
      </c>
      <c r="AD16" s="66">
        <v>14592</v>
      </c>
      <c r="AE16" s="66">
        <v>14967</v>
      </c>
      <c r="AF16" s="66">
        <v>18172</v>
      </c>
      <c r="AG16" s="66">
        <v>12888</v>
      </c>
      <c r="AH16" s="66">
        <v>28924</v>
      </c>
      <c r="AI16" s="59">
        <v>26666</v>
      </c>
      <c r="AJ16" s="59">
        <v>48268</v>
      </c>
      <c r="AK16" s="59">
        <v>61939</v>
      </c>
      <c r="AL16" s="59">
        <v>95492</v>
      </c>
      <c r="AM16" s="59">
        <v>56231</v>
      </c>
      <c r="AN16" s="59">
        <v>72424</v>
      </c>
    </row>
    <row r="17" spans="2:40" ht="28.5" thickBot="1" x14ac:dyDescent="0.6">
      <c r="B17" s="3" t="s">
        <v>10</v>
      </c>
      <c r="D17" s="54" t="s">
        <v>229</v>
      </c>
      <c r="E17" s="76" t="s">
        <v>246</v>
      </c>
      <c r="F17">
        <v>16</v>
      </c>
      <c r="G17">
        <v>16</v>
      </c>
      <c r="H17">
        <v>13</v>
      </c>
      <c r="I17" s="63" t="s">
        <v>121</v>
      </c>
      <c r="J17" s="56" t="s">
        <v>25</v>
      </c>
      <c r="K17" s="64">
        <v>315</v>
      </c>
      <c r="L17" s="64">
        <v>883</v>
      </c>
      <c r="M17" s="64">
        <v>1448</v>
      </c>
      <c r="N17" s="64">
        <v>1249</v>
      </c>
      <c r="O17" s="64">
        <v>1074</v>
      </c>
      <c r="P17" s="64">
        <v>3732</v>
      </c>
      <c r="Q17" s="64">
        <v>5521</v>
      </c>
      <c r="R17" s="64">
        <v>6451</v>
      </c>
      <c r="S17" s="64">
        <v>6039</v>
      </c>
      <c r="T17" s="61">
        <v>3926</v>
      </c>
      <c r="U17" s="61">
        <v>3606</v>
      </c>
      <c r="V17" s="61">
        <v>2345</v>
      </c>
      <c r="W17" s="61">
        <v>5645</v>
      </c>
      <c r="X17" s="61">
        <v>2686</v>
      </c>
      <c r="Y17" s="61">
        <v>1770</v>
      </c>
      <c r="Z17" s="61">
        <v>2911</v>
      </c>
      <c r="AA17" s="66">
        <v>5486</v>
      </c>
      <c r="AB17" s="66">
        <v>4355</v>
      </c>
      <c r="AC17" s="66">
        <v>4508</v>
      </c>
      <c r="AD17" s="66">
        <v>4193</v>
      </c>
      <c r="AE17" s="66">
        <v>4664</v>
      </c>
      <c r="AF17" s="66">
        <v>4317</v>
      </c>
      <c r="AG17" s="66">
        <v>4217</v>
      </c>
      <c r="AH17" s="66">
        <v>3369</v>
      </c>
      <c r="AI17" s="59">
        <v>4399</v>
      </c>
      <c r="AJ17" s="59">
        <v>3582</v>
      </c>
      <c r="AK17" s="59">
        <v>3635</v>
      </c>
      <c r="AL17" s="59">
        <v>4061</v>
      </c>
      <c r="AM17" s="59">
        <v>3315</v>
      </c>
      <c r="AN17" s="59">
        <v>3261</v>
      </c>
    </row>
    <row r="18" spans="2:40" ht="28.5" thickBot="1" x14ac:dyDescent="0.6">
      <c r="B18" s="3" t="s">
        <v>10</v>
      </c>
      <c r="D18" s="54" t="s">
        <v>229</v>
      </c>
      <c r="E18" s="76" t="s">
        <v>246</v>
      </c>
      <c r="F18">
        <v>17</v>
      </c>
      <c r="G18">
        <v>17</v>
      </c>
      <c r="H18">
        <v>13</v>
      </c>
      <c r="I18" s="63" t="s">
        <v>218</v>
      </c>
      <c r="J18" s="56" t="s">
        <v>25</v>
      </c>
      <c r="K18" s="64"/>
      <c r="L18" s="64"/>
      <c r="M18" s="64"/>
      <c r="N18" s="64"/>
      <c r="O18" s="64"/>
      <c r="P18" s="64"/>
      <c r="Q18" s="64"/>
      <c r="R18" s="64"/>
      <c r="S18" s="64"/>
      <c r="T18" s="61"/>
      <c r="U18" s="61"/>
      <c r="V18" s="61"/>
      <c r="W18" s="61"/>
      <c r="X18" s="61"/>
      <c r="Y18" s="61"/>
      <c r="Z18" s="61">
        <v>4488</v>
      </c>
      <c r="AA18" s="66">
        <v>11151</v>
      </c>
      <c r="AB18" s="66">
        <v>7287</v>
      </c>
      <c r="AC18" s="66">
        <v>12503</v>
      </c>
      <c r="AD18" s="66">
        <v>5448</v>
      </c>
      <c r="AE18" s="66">
        <v>2822</v>
      </c>
      <c r="AF18" s="66">
        <v>3408</v>
      </c>
      <c r="AG18" s="66">
        <v>2766</v>
      </c>
      <c r="AH18" s="66">
        <v>7341</v>
      </c>
      <c r="AI18" s="59">
        <v>10735</v>
      </c>
      <c r="AJ18" s="59">
        <v>6264</v>
      </c>
      <c r="AK18" s="59">
        <v>11941</v>
      </c>
      <c r="AL18" s="59">
        <v>13041</v>
      </c>
      <c r="AM18" s="59">
        <v>28644</v>
      </c>
      <c r="AN18" s="59">
        <v>34773</v>
      </c>
    </row>
    <row r="19" spans="2:40" ht="28.5" thickBot="1" x14ac:dyDescent="0.6">
      <c r="B19" s="3" t="s">
        <v>10</v>
      </c>
      <c r="D19" s="54" t="s">
        <v>229</v>
      </c>
      <c r="E19" s="76" t="s">
        <v>246</v>
      </c>
      <c r="F19">
        <v>18</v>
      </c>
      <c r="G19">
        <v>18</v>
      </c>
      <c r="H19">
        <v>13</v>
      </c>
      <c r="I19" s="60" t="s">
        <v>219</v>
      </c>
      <c r="J19" s="56" t="s">
        <v>25</v>
      </c>
      <c r="K19" s="62">
        <v>158622</v>
      </c>
      <c r="L19" s="62">
        <v>139780</v>
      </c>
      <c r="M19" s="62">
        <v>117024</v>
      </c>
      <c r="N19" s="62">
        <v>72470</v>
      </c>
      <c r="O19" s="62">
        <v>78127</v>
      </c>
      <c r="P19" s="62">
        <v>71830</v>
      </c>
      <c r="Q19" s="62">
        <v>93262</v>
      </c>
      <c r="R19" s="62">
        <v>95868</v>
      </c>
      <c r="S19" s="62">
        <v>97359</v>
      </c>
      <c r="T19" s="61">
        <v>138170</v>
      </c>
      <c r="U19" s="61">
        <v>129558</v>
      </c>
      <c r="V19" s="61">
        <v>142202</v>
      </c>
      <c r="W19" s="61">
        <v>169356</v>
      </c>
      <c r="X19" s="61">
        <v>202784</v>
      </c>
      <c r="Y19" s="61">
        <v>210424</v>
      </c>
      <c r="Z19" s="61">
        <v>169143</v>
      </c>
      <c r="AA19" s="66">
        <v>264106</v>
      </c>
      <c r="AB19" s="66">
        <v>314999</v>
      </c>
      <c r="AC19" s="66">
        <v>199343</v>
      </c>
      <c r="AD19" s="66">
        <v>227646</v>
      </c>
      <c r="AE19" s="66">
        <v>228412</v>
      </c>
      <c r="AF19" s="66">
        <v>255074</v>
      </c>
      <c r="AG19" s="66">
        <v>374135</v>
      </c>
      <c r="AH19" s="66">
        <v>427144</v>
      </c>
      <c r="AI19" s="59">
        <v>442118</v>
      </c>
      <c r="AJ19" s="59">
        <v>269311</v>
      </c>
      <c r="AK19" s="59">
        <v>346412</v>
      </c>
      <c r="AL19" s="59"/>
      <c r="AM19" s="59">
        <v>332011</v>
      </c>
      <c r="AN19" s="59">
        <v>417006</v>
      </c>
    </row>
    <row r="20" spans="2:40" ht="28.5" thickBot="1" x14ac:dyDescent="0.6">
      <c r="B20" s="3" t="s">
        <v>10</v>
      </c>
      <c r="D20" s="54" t="s">
        <v>229</v>
      </c>
      <c r="E20" s="76" t="s">
        <v>246</v>
      </c>
      <c r="F20">
        <v>19</v>
      </c>
      <c r="G20">
        <v>19</v>
      </c>
      <c r="H20">
        <v>13</v>
      </c>
      <c r="I20" s="60" t="s">
        <v>123</v>
      </c>
      <c r="J20" s="56" t="s">
        <v>25</v>
      </c>
      <c r="K20" s="65">
        <v>137979</v>
      </c>
      <c r="L20" s="65">
        <v>114068</v>
      </c>
      <c r="M20" s="65">
        <v>99220</v>
      </c>
      <c r="N20" s="65">
        <v>52005</v>
      </c>
      <c r="O20" s="65">
        <v>56045</v>
      </c>
      <c r="P20" s="65">
        <v>45732</v>
      </c>
      <c r="Q20" s="65">
        <v>65804</v>
      </c>
      <c r="R20" s="65">
        <v>81227</v>
      </c>
      <c r="S20" s="65">
        <v>84692</v>
      </c>
      <c r="T20" s="61">
        <v>125139</v>
      </c>
      <c r="U20" s="61">
        <v>114128</v>
      </c>
      <c r="V20" s="61">
        <v>129770</v>
      </c>
      <c r="W20" s="61">
        <v>147150</v>
      </c>
      <c r="X20" s="61">
        <v>173609</v>
      </c>
      <c r="Y20" s="61">
        <v>192236</v>
      </c>
      <c r="Z20" s="61">
        <v>157724</v>
      </c>
      <c r="AA20" s="66">
        <v>249405</v>
      </c>
      <c r="AB20" s="66">
        <v>291375</v>
      </c>
      <c r="AC20" s="66">
        <v>168653</v>
      </c>
      <c r="AD20" s="66">
        <v>203043</v>
      </c>
      <c r="AE20" s="66">
        <v>197989</v>
      </c>
      <c r="AF20" s="66">
        <v>225984</v>
      </c>
      <c r="AG20" s="66">
        <v>335531</v>
      </c>
      <c r="AH20" s="66">
        <v>394272</v>
      </c>
      <c r="AI20" s="59">
        <v>360930</v>
      </c>
      <c r="AJ20" s="59">
        <v>229077</v>
      </c>
      <c r="AK20" s="59">
        <v>312978</v>
      </c>
      <c r="AL20" s="59">
        <v>460270</v>
      </c>
      <c r="AM20" s="59">
        <v>297626</v>
      </c>
      <c r="AN20" s="59">
        <v>376158</v>
      </c>
    </row>
    <row r="21" spans="2:40" ht="28.5" thickBot="1" x14ac:dyDescent="0.6">
      <c r="B21" s="3" t="s">
        <v>10</v>
      </c>
      <c r="D21" s="54" t="s">
        <v>229</v>
      </c>
      <c r="E21" s="76" t="s">
        <v>246</v>
      </c>
      <c r="F21">
        <v>20</v>
      </c>
      <c r="G21">
        <v>20</v>
      </c>
      <c r="H21">
        <v>13</v>
      </c>
      <c r="I21" s="60" t="s">
        <v>124</v>
      </c>
      <c r="J21" s="56" t="s">
        <v>25</v>
      </c>
      <c r="K21" s="65">
        <v>12605</v>
      </c>
      <c r="L21" s="65">
        <v>14410</v>
      </c>
      <c r="M21" s="65">
        <v>10171</v>
      </c>
      <c r="N21" s="65">
        <v>9439</v>
      </c>
      <c r="O21" s="65">
        <v>12092</v>
      </c>
      <c r="P21" s="65">
        <v>11957</v>
      </c>
      <c r="Q21" s="65">
        <v>14106</v>
      </c>
      <c r="R21" s="65">
        <v>8437</v>
      </c>
      <c r="S21" s="65">
        <v>9670</v>
      </c>
      <c r="T21" s="61">
        <v>9944</v>
      </c>
      <c r="U21" s="61">
        <v>11014</v>
      </c>
      <c r="V21" s="61">
        <v>10082</v>
      </c>
      <c r="W21" s="61">
        <v>16219</v>
      </c>
      <c r="X21" s="61">
        <v>14301</v>
      </c>
      <c r="Y21" s="61">
        <v>13623</v>
      </c>
      <c r="Z21" s="61">
        <v>9079</v>
      </c>
      <c r="AA21" s="66">
        <v>9868</v>
      </c>
      <c r="AB21" s="66">
        <v>17479</v>
      </c>
      <c r="AC21" s="66">
        <v>15828</v>
      </c>
      <c r="AD21" s="66">
        <v>9984</v>
      </c>
      <c r="AE21" s="66">
        <v>10864</v>
      </c>
      <c r="AF21" s="66">
        <v>7435</v>
      </c>
      <c r="AG21" s="66">
        <v>8273</v>
      </c>
      <c r="AH21" s="66">
        <v>10858</v>
      </c>
      <c r="AI21" s="59">
        <v>15477</v>
      </c>
      <c r="AJ21" s="59">
        <v>13965</v>
      </c>
      <c r="AK21" s="59">
        <v>8860</v>
      </c>
      <c r="AL21" s="59">
        <v>7268</v>
      </c>
      <c r="AM21" s="59">
        <v>15205</v>
      </c>
      <c r="AN21" s="59">
        <v>13714</v>
      </c>
    </row>
    <row r="22" spans="2:40" ht="28.5" thickBot="1" x14ac:dyDescent="0.6">
      <c r="B22" s="3" t="s">
        <v>10</v>
      </c>
      <c r="D22" s="54" t="s">
        <v>229</v>
      </c>
      <c r="E22" s="76" t="s">
        <v>246</v>
      </c>
      <c r="F22">
        <v>21</v>
      </c>
      <c r="G22">
        <v>21</v>
      </c>
      <c r="H22">
        <v>13</v>
      </c>
      <c r="I22" s="60" t="s">
        <v>220</v>
      </c>
      <c r="J22" s="56" t="s">
        <v>25</v>
      </c>
      <c r="K22" s="65">
        <v>8038</v>
      </c>
      <c r="L22" s="65">
        <v>11302</v>
      </c>
      <c r="M22" s="65">
        <v>7633</v>
      </c>
      <c r="N22" s="65">
        <v>11026</v>
      </c>
      <c r="O22" s="65">
        <v>9990</v>
      </c>
      <c r="P22" s="65">
        <v>14141</v>
      </c>
      <c r="Q22" s="65">
        <v>13352</v>
      </c>
      <c r="R22" s="65">
        <v>6204</v>
      </c>
      <c r="S22" s="65">
        <v>2997</v>
      </c>
      <c r="T22" s="61">
        <v>3087</v>
      </c>
      <c r="U22" s="61">
        <v>4416</v>
      </c>
      <c r="V22" s="61">
        <v>2350</v>
      </c>
      <c r="W22" s="61">
        <v>5987</v>
      </c>
      <c r="X22" s="61">
        <v>14874</v>
      </c>
      <c r="Y22" s="61">
        <v>4565</v>
      </c>
      <c r="Z22" s="61">
        <v>2340</v>
      </c>
      <c r="AA22" s="66">
        <v>4833</v>
      </c>
      <c r="AB22" s="66">
        <v>6145</v>
      </c>
      <c r="AC22" s="66">
        <v>14862</v>
      </c>
      <c r="AD22" s="66">
        <v>14619</v>
      </c>
      <c r="AE22" s="66">
        <v>19559</v>
      </c>
      <c r="AF22" s="66">
        <v>21655</v>
      </c>
      <c r="AG22" s="66">
        <v>30331</v>
      </c>
      <c r="AH22" s="66">
        <v>22014</v>
      </c>
      <c r="AI22" s="59">
        <v>65711</v>
      </c>
      <c r="AJ22" s="59">
        <v>26269</v>
      </c>
      <c r="AK22" s="59">
        <v>24574</v>
      </c>
      <c r="AL22" s="59">
        <v>12545</v>
      </c>
      <c r="AM22" s="59">
        <v>19180</v>
      </c>
      <c r="AN22" s="59">
        <v>27134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taux de change($)</vt:lpstr>
      <vt:lpstr>taux de change(€)</vt:lpstr>
      <vt:lpstr>taux de change(Fcfa)</vt:lpstr>
      <vt:lpstr>taux de change(¥)</vt:lpstr>
      <vt:lpstr>Import bien</vt:lpstr>
      <vt:lpstr>Imports_G_cont_t12</vt:lpstr>
      <vt:lpstr>Alim val</vt:lpstr>
      <vt:lpstr>Exportation Mauritanienne ty.pr</vt:lpstr>
      <vt:lpstr>Exportation Mauritanien des</vt:lpstr>
      <vt:lpstr>Export poisson</vt:lpstr>
      <vt:lpstr>Export smcp pays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Nejib</cp:lastModifiedBy>
  <dcterms:created xsi:type="dcterms:W3CDTF">2015-06-05T18:17:20Z</dcterms:created>
  <dcterms:modified xsi:type="dcterms:W3CDTF">2025-12-21T09:35:43Z</dcterms:modified>
</cp:coreProperties>
</file>