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Gouvernance\"/>
    </mc:Choice>
  </mc:AlternateContent>
  <xr:revisionPtr revIDLastSave="0" documentId="13_ncr:1_{E568B91D-C7BF-402F-B6BE-B9DA1AE0433B}" xr6:coauthVersionLast="47" xr6:coauthVersionMax="47" xr10:uidLastSave="{00000000-0000-0000-0000-000000000000}"/>
  <bookViews>
    <workbookView xWindow="-108" yWindow="-108" windowWidth="23256" windowHeight="12456" firstSheet="6" activeTab="19" xr2:uid="{00000000-000D-0000-FFFF-FFFF00000000}"/>
  </bookViews>
  <sheets>
    <sheet name="TSN1" sheetId="1" r:id="rId1"/>
    <sheet name="TSN2" sheetId="2" r:id="rId2"/>
    <sheet name="TSN3" sheetId="3" r:id="rId3"/>
    <sheet name="TSN4" sheetId="4" r:id="rId4"/>
    <sheet name="TSN5" sheetId="5" r:id="rId5"/>
    <sheet name="TPS1" sheetId="6" r:id="rId6"/>
    <sheet name="TPS2" sheetId="7" r:id="rId7"/>
    <sheet name="TSJ1" sheetId="8" r:id="rId8"/>
    <sheet name="TSJ2" sheetId="9" r:id="rId9"/>
    <sheet name="TSJ3" sheetId="10" r:id="rId10"/>
    <sheet name="TSJ4" sheetId="11" r:id="rId11"/>
    <sheet name="TSJ5" sheetId="12" r:id="rId12"/>
    <sheet name="TSJ6" sheetId="13" r:id="rId13"/>
    <sheet name="TSJ7" sheetId="14" r:id="rId14"/>
    <sheet name="TSJ8" sheetId="15" r:id="rId15"/>
    <sheet name="TDH1" sheetId="16" r:id="rId16"/>
    <sheet name="TDH2" sheetId="17" r:id="rId17"/>
    <sheet name="TDH3" sheetId="18" r:id="rId18"/>
    <sheet name="TDH4" sheetId="19" r:id="rId19"/>
    <sheet name="TDH5" sheetId="20" r:id="rId20"/>
  </sheets>
  <calcPr calcId="191029"/>
</workbook>
</file>

<file path=xl/calcChain.xml><?xml version="1.0" encoding="utf-8"?>
<calcChain xmlns="http://schemas.openxmlformats.org/spreadsheetml/2006/main">
  <c r="O3" i="12" l="1"/>
  <c r="N3" i="12"/>
  <c r="L3" i="12"/>
  <c r="K3" i="12"/>
  <c r="M3" i="12" s="1"/>
  <c r="I3" i="12"/>
  <c r="H3" i="12"/>
  <c r="J3" i="12" s="1"/>
  <c r="F3" i="12"/>
  <c r="E3" i="12"/>
  <c r="G3" i="12" s="1"/>
  <c r="C3" i="12"/>
  <c r="B3" i="12"/>
  <c r="D3" i="12" s="1"/>
  <c r="P8" i="12"/>
  <c r="M8" i="12"/>
  <c r="J8" i="12"/>
  <c r="G8" i="12"/>
  <c r="D8" i="12"/>
  <c r="P7" i="12"/>
  <c r="M7" i="12"/>
  <c r="J7" i="12"/>
  <c r="G7" i="12"/>
  <c r="D7" i="12"/>
  <c r="P6" i="12"/>
  <c r="M6" i="12"/>
  <c r="J6" i="12"/>
  <c r="G6" i="12"/>
  <c r="D6" i="12"/>
  <c r="P5" i="12"/>
  <c r="M5" i="12"/>
  <c r="J5" i="12"/>
  <c r="G5" i="12"/>
  <c r="D5" i="12"/>
  <c r="P4" i="12"/>
  <c r="M4" i="12"/>
  <c r="J4" i="12"/>
  <c r="G4" i="12"/>
  <c r="D4" i="12"/>
  <c r="D9" i="11"/>
  <c r="J8" i="11"/>
  <c r="G8" i="11"/>
  <c r="D8" i="11"/>
  <c r="J7" i="11"/>
  <c r="G7" i="11"/>
  <c r="D7" i="11"/>
  <c r="J6" i="11"/>
  <c r="G6" i="11"/>
  <c r="D6" i="11"/>
  <c r="J5" i="11"/>
  <c r="G5" i="11"/>
  <c r="D5" i="11"/>
  <c r="J4" i="11"/>
  <c r="G4" i="11"/>
  <c r="D4" i="11"/>
  <c r="D7" i="10"/>
  <c r="D6" i="10"/>
  <c r="D5" i="10"/>
  <c r="D4" i="10"/>
  <c r="D3" i="10"/>
  <c r="P3" i="12" l="1"/>
  <c r="D7" i="9"/>
  <c r="D6" i="9"/>
  <c r="D5" i="9"/>
  <c r="D4" i="9"/>
  <c r="D3" i="9"/>
</calcChain>
</file>

<file path=xl/sharedStrings.xml><?xml version="1.0" encoding="utf-8"?>
<sst xmlns="http://schemas.openxmlformats.org/spreadsheetml/2006/main" count="338" uniqueCount="181">
  <si>
    <t>Année</t>
  </si>
  <si>
    <t>2019</t>
  </si>
  <si>
    <t>2020</t>
  </si>
  <si>
    <t>2021</t>
  </si>
  <si>
    <t>2022</t>
  </si>
  <si>
    <t>2023</t>
  </si>
  <si>
    <t>2024</t>
  </si>
  <si>
    <t>Nombre</t>
  </si>
  <si>
    <t>Sexe</t>
  </si>
  <si>
    <t>Homme</t>
  </si>
  <si>
    <t>Femme</t>
  </si>
  <si>
    <t>Ensemble</t>
  </si>
  <si>
    <t>2000</t>
  </si>
  <si>
    <t>2005</t>
  </si>
  <si>
    <t>2010</t>
  </si>
  <si>
    <t>2015</t>
  </si>
  <si>
    <t>Nombre de crime meurtrier</t>
  </si>
  <si>
    <t>Taux d'homicide (pour 100000 habitants)</t>
  </si>
  <si>
    <t>2020~Nombre de crime meurtrier</t>
  </si>
  <si>
    <t>2020~ Taux d'homicide(pour 100000 habitants)</t>
  </si>
  <si>
    <t>2021~Nombre de crime meurtrier</t>
  </si>
  <si>
    <t>2021~ Taux d'homicide(pour 100000 habitants)</t>
  </si>
  <si>
    <t>2022~Nombre de crime meurtrier</t>
  </si>
  <si>
    <t>2022~  Taux d'homicide(pour 100000 habitants)</t>
  </si>
  <si>
    <t>2023~ Nombre de crime meurtrier</t>
  </si>
  <si>
    <t>2023~Taux d'homicide(pour 100000 habitants)</t>
  </si>
  <si>
    <t>2024~Taux d'homicide(pour 100000 habitants)</t>
  </si>
  <si>
    <t>2019~Masculin</t>
  </si>
  <si>
    <t>2019~Féminin</t>
  </si>
  <si>
    <t>2019~Ensemble</t>
  </si>
  <si>
    <t>2020~Masculin</t>
  </si>
  <si>
    <t>2020~Féminin</t>
  </si>
  <si>
    <t>2020~Ensemble</t>
  </si>
  <si>
    <t>2021~Masculin</t>
  </si>
  <si>
    <t>2021~Féminin</t>
  </si>
  <si>
    <t>2021~Ensemble</t>
  </si>
  <si>
    <t>2022~Masculin</t>
  </si>
  <si>
    <t>2022~Féminin</t>
  </si>
  <si>
    <t>2022~Ensemble</t>
  </si>
  <si>
    <t>2023~Féminin</t>
  </si>
  <si>
    <t>2023~Ensemble</t>
  </si>
  <si>
    <t>2024~Masculin</t>
  </si>
  <si>
    <t>2024~Féminin</t>
  </si>
  <si>
    <t>2024~Ensemble</t>
  </si>
  <si>
    <t>Prison</t>
  </si>
  <si>
    <t>2023~Masculin</t>
  </si>
  <si>
    <t>Prison Dar Naim</t>
  </si>
  <si>
    <t>Prison Aleg</t>
  </si>
  <si>
    <t>2019~Adulte</t>
  </si>
  <si>
    <t>2020~Adulte</t>
  </si>
  <si>
    <t>2021~Adulte</t>
  </si>
  <si>
    <t>2022~Adulte</t>
  </si>
  <si>
    <t>2023~Adulte</t>
  </si>
  <si>
    <t>2024~Adulte</t>
  </si>
  <si>
    <t>CARSEC</t>
  </si>
  <si>
    <t>2019~Cond</t>
  </si>
  <si>
    <t>2019~ Ptév</t>
  </si>
  <si>
    <t>2020~Cond</t>
  </si>
  <si>
    <t>2021~Cond</t>
  </si>
  <si>
    <t>2022~Cond</t>
  </si>
  <si>
    <t>2023~Cond</t>
  </si>
  <si>
    <t>2024~Cond</t>
  </si>
  <si>
    <t>Nombre de personnes en détention provisoire</t>
  </si>
  <si>
    <t>Pourcentage d'éfficacité</t>
  </si>
  <si>
    <t>Dar Naim</t>
  </si>
  <si>
    <t>Prison Femmes</t>
  </si>
  <si>
    <t>Détenus</t>
  </si>
  <si>
    <t>Pourcentage</t>
  </si>
  <si>
    <t>2014</t>
  </si>
  <si>
    <t>Nombre d'inscrits</t>
  </si>
  <si>
    <t>Nombre de votants</t>
  </si>
  <si>
    <t>Bulletins nuls</t>
  </si>
  <si>
    <t>Bulletins blancs</t>
  </si>
  <si>
    <t>Suffrages exprimés</t>
  </si>
  <si>
    <t>Source: CENI et old.ami.mr</t>
  </si>
  <si>
    <t>Nombre des femmes</t>
  </si>
  <si>
    <t>Pourcentage des femmes</t>
  </si>
  <si>
    <t>Année d'élection</t>
  </si>
  <si>
    <t>2013</t>
  </si>
  <si>
    <t>2018</t>
  </si>
  <si>
    <t>Nombre de sièges</t>
  </si>
  <si>
    <t>Nombre de partis</t>
  </si>
  <si>
    <t>Nombre de listes</t>
  </si>
  <si>
    <t>Source : Haut Commissariat des Nations unies  pour les réfugiés</t>
  </si>
  <si>
    <t>Tableau 3.2.1:  Evolution du nombre des refugiés maliens enregistrés dans le camp de M'berra   2019-2024</t>
  </si>
  <si>
    <t>Tableau 3.2.2: Evolution du nombre de demandeurs d'asile en Mauritanie par sexe  2019-2024</t>
  </si>
  <si>
    <t>Tableau 3.2.4 : Evolution du nombre de réfugiés en Mauritanie par sexe  2019-2024</t>
  </si>
  <si>
    <t>Tableau 3.2.8:  Population carcérale totale en Mauritanie par sexe  2019 - 2024</t>
  </si>
  <si>
    <t>Tableau 3.2.9:  Répartition des détenus par sexe et prison en Mauritanie  2019 - 2024</t>
  </si>
  <si>
    <t>Tableau  3.2.10:  Répartition des détenus selon les catégories d'âge et par prison principale  2019 - 2024</t>
  </si>
  <si>
    <t>Tableau 3.2.11:  Répartition des détenus par nationalité et prison  2020 - 2024</t>
  </si>
  <si>
    <t>Tableau 3.2.13:  Efficacité du système judiciaire en Mauritanie  2010-2024</t>
  </si>
  <si>
    <t>Tableau 3.2.14: Evolution du taux d'occupation par  prison  2020 - 2024</t>
  </si>
  <si>
    <t>Tableau 3.2.15:  Pourcentage de la population féminine carcérale  en Mauritanie  2010-2024</t>
  </si>
  <si>
    <t>Tableau 3.2.16: Résultats des élections présidentielles en Mauritanie  2014-2024</t>
  </si>
  <si>
    <t>Tableau 3.2.3 : Evolution du nombre de demandeurs d'asile en Mauritanie par groupe d'âge  2019-2024</t>
  </si>
  <si>
    <t>Total</t>
  </si>
  <si>
    <t>Tableau 3.2.6:  Evolution du taux d'homicide en Mauritanie  2000-2024</t>
  </si>
  <si>
    <t>Groupe d'âge (années)</t>
  </si>
  <si>
    <t>0-14</t>
  </si>
  <si>
    <t>15+</t>
  </si>
  <si>
    <t>Tableau 3.2.5 : Evolution du nombre de réfugiés en Mauritanie par groupe d'âge (années)  2019-2024</t>
  </si>
  <si>
    <t>Source: Direction Générale de la Sûreté Nationale</t>
  </si>
  <si>
    <t>Tableau 3.2.7:  Evolution du taux d'homicide en Mauritanie selon la wilaya  2020-2024</t>
  </si>
  <si>
    <t>Mauritanie</t>
  </si>
  <si>
    <t>Wilaya~Hodh Chargui</t>
  </si>
  <si>
    <t>Wilaya~Hodh El Gharbi</t>
  </si>
  <si>
    <t>Wilaya~Assaba</t>
  </si>
  <si>
    <t>Wilaya~Gorgol</t>
  </si>
  <si>
    <t>Wilaya~Brakna</t>
  </si>
  <si>
    <t>Wilaya~Trarza</t>
  </si>
  <si>
    <t>Wilaya~Adrar</t>
  </si>
  <si>
    <t>Wilaya~Dakhlet Nouadhibou</t>
  </si>
  <si>
    <t>Wilaya~Tagant</t>
  </si>
  <si>
    <t>Wilaya~Guidimakha</t>
  </si>
  <si>
    <t>Wilaya~Tiris Zemmour</t>
  </si>
  <si>
    <t>Wilaya~lnchiri</t>
  </si>
  <si>
    <t>Wilaya~Nouakchott</t>
  </si>
  <si>
    <t>Source: Ministère de la Justice/ Direction générale des prisons et de la réinsertion</t>
  </si>
  <si>
    <t xml:space="preserve">2019~Ensemble  </t>
  </si>
  <si>
    <t xml:space="preserve">2020~Masculin  </t>
  </si>
  <si>
    <t xml:space="preserve">2020~Féminin  </t>
  </si>
  <si>
    <t xml:space="preserve">2020~Ensemble  </t>
  </si>
  <si>
    <t xml:space="preserve">2021~Masculin  </t>
  </si>
  <si>
    <t xml:space="preserve">2021~Féminin  </t>
  </si>
  <si>
    <t xml:space="preserve">2021~Ensemble  </t>
  </si>
  <si>
    <t xml:space="preserve">2022~Masculin  </t>
  </si>
  <si>
    <t xml:space="preserve">2022~Féminin  </t>
  </si>
  <si>
    <t xml:space="preserve">2022~Ensemble  </t>
  </si>
  <si>
    <t xml:space="preserve">2023~Masculin  </t>
  </si>
  <si>
    <t xml:space="preserve">2023~Féminin  </t>
  </si>
  <si>
    <t xml:space="preserve">2023~Ensemble  </t>
  </si>
  <si>
    <t xml:space="preserve">2024~Masculin  </t>
  </si>
  <si>
    <t xml:space="preserve">2024~Féminin  </t>
  </si>
  <si>
    <t xml:space="preserve">2024~Ensemble  </t>
  </si>
  <si>
    <t>-</t>
  </si>
  <si>
    <t>Prison Nouadhibou</t>
  </si>
  <si>
    <t xml:space="preserve">2024~Mineur </t>
  </si>
  <si>
    <t xml:space="preserve">2023~Mineur </t>
  </si>
  <si>
    <t xml:space="preserve">2019~Mineur </t>
  </si>
  <si>
    <t xml:space="preserve">2020~Mineur </t>
  </si>
  <si>
    <t xml:space="preserve">2021~Mineur </t>
  </si>
  <si>
    <t xml:space="preserve"> 2022~Mineur </t>
  </si>
  <si>
    <t>Prison Civile</t>
  </si>
  <si>
    <t>2020~Mauritanie</t>
  </si>
  <si>
    <t xml:space="preserve"> 2020~% Etranger </t>
  </si>
  <si>
    <t>2021~Mauritanie</t>
  </si>
  <si>
    <t xml:space="preserve"> 2021~Etranger</t>
  </si>
  <si>
    <t xml:space="preserve"> 2021~% Etranger </t>
  </si>
  <si>
    <t>2022~Mauritanie</t>
  </si>
  <si>
    <t>2023~Mauritanie</t>
  </si>
  <si>
    <t xml:space="preserve"> 2023~Etranger</t>
  </si>
  <si>
    <t xml:space="preserve"> 2023~% Etranger </t>
  </si>
  <si>
    <t>2024~Mauritanie</t>
  </si>
  <si>
    <t>ND</t>
  </si>
  <si>
    <t xml:space="preserve">2024~% Etranger </t>
  </si>
  <si>
    <t>2024~Etranger</t>
  </si>
  <si>
    <t xml:space="preserve">2022~% Etranger </t>
  </si>
  <si>
    <t>2022~Etranger</t>
  </si>
  <si>
    <t>2020~Etranger</t>
  </si>
  <si>
    <t xml:space="preserve"> 2020~Ptév</t>
  </si>
  <si>
    <t xml:space="preserve"> 2022~Ptév</t>
  </si>
  <si>
    <t>2021~Ptév</t>
  </si>
  <si>
    <t>2023~Ptév</t>
  </si>
  <si>
    <t>2024~Ptév</t>
  </si>
  <si>
    <t>Nombre total de détenus</t>
  </si>
  <si>
    <t>Prison Centrale</t>
  </si>
  <si>
    <t>Source: World Prison Brief</t>
  </si>
  <si>
    <t>Nombre de bureaux de vote</t>
  </si>
  <si>
    <t>Tableau 3.2.17: Pourcentage de femmes dans le parlement mauritanien  2013 - 2023</t>
  </si>
  <si>
    <t>Année d'élection~2013</t>
  </si>
  <si>
    <t>Année d'élection~2018</t>
  </si>
  <si>
    <t>Année d'élection~2023</t>
  </si>
  <si>
    <t>Nombre total de sièges</t>
  </si>
  <si>
    <t>Taux de participation (%)</t>
  </si>
  <si>
    <t>Tableau 3.2.18: Statistiques des élections législatives en Mauritanie   2013 - 2023</t>
  </si>
  <si>
    <t>Tableau 3.2.19: Statistiques des élections municipales en Mauritanie  2013 - 2023</t>
  </si>
  <si>
    <t>Tableau 3.2.20: Statistiques des élections régionales 2018 - 2023</t>
  </si>
  <si>
    <t xml:space="preserve">0-14 </t>
  </si>
  <si>
    <t>Tableau 3.2.12:  Répartition des détenus par type de détention et par prison   2019 - 2024</t>
  </si>
  <si>
    <t>Nombre de femmes détenues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</si>
</sst>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  <font>
      <sz val="11"/>
      <color theme="1"/>
      <name val="Calibri"/>
      <family val="2"/>
      <scheme val="minor"/>
    </font>
    <font>
      <b/>
      <sz val="20"/>
      <color rgb="FF000000"/>
      <name val="Sakkal Majalla"/>
    </font>
    <font>
      <b/>
      <sz val="18"/>
      <color rgb="FF3F3F3F"/>
      <name val="Sakkal Majalla"/>
    </font>
    <font>
      <b/>
      <sz val="12"/>
      <color rgb="FF3F3F3F"/>
      <name val="Times New Roman"/>
      <family val="1"/>
    </font>
    <font>
      <b/>
      <sz val="18"/>
      <name val="Sakkal Majalla"/>
    </font>
    <font>
      <sz val="18"/>
      <color rgb="FF3F3F3F"/>
      <name val="Sakkal Majalla"/>
    </font>
    <font>
      <sz val="12"/>
      <color rgb="FF3F3F3F"/>
      <name val="Times New Roman"/>
      <family val="1"/>
    </font>
    <font>
      <b/>
      <sz val="14"/>
      <color rgb="FF3F3F3F"/>
      <name val="Sakkal Majalla"/>
    </font>
    <font>
      <sz val="14"/>
      <color theme="1"/>
      <name val="Sakkal Majalla"/>
    </font>
    <font>
      <sz val="18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medium">
        <color theme="3" tint="-0.249977111117893"/>
      </left>
      <right/>
      <top/>
      <bottom/>
      <diagonal/>
    </border>
    <border>
      <left style="medium">
        <color theme="3" tint="-0.249977111117893"/>
      </left>
      <right/>
      <top/>
      <bottom style="thin">
        <color indexed="64"/>
      </bottom>
      <diagonal/>
    </border>
    <border>
      <left style="medium">
        <color theme="3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3" tint="-0.249977111117893"/>
      </left>
      <right/>
      <top style="thin">
        <color indexed="64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 tint="-0.249977111117893"/>
      </bottom>
      <diagonal/>
    </border>
    <border>
      <left style="thin">
        <color indexed="64"/>
      </left>
      <right/>
      <top style="thin">
        <color indexed="64"/>
      </top>
      <bottom style="medium">
        <color theme="3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2" fontId="9" fillId="0" borderId="2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 wrapText="1"/>
    </xf>
    <xf numFmtId="2" fontId="9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1" fontId="9" fillId="0" borderId="9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13" fillId="0" borderId="0" xfId="2" applyNumberFormat="1" applyFont="1"/>
    <xf numFmtId="164" fontId="9" fillId="0" borderId="10" xfId="1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2" fontId="13" fillId="0" borderId="2" xfId="2" applyNumberFormat="1" applyFont="1" applyBorder="1"/>
    <xf numFmtId="0" fontId="6" fillId="2" borderId="2" xfId="0" applyFont="1" applyFill="1" applyBorder="1" applyAlignment="1">
      <alignment vertical="top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/>
    </xf>
    <xf numFmtId="1" fontId="10" fillId="2" borderId="2" xfId="0" applyNumberFormat="1" applyFont="1" applyFill="1" applyBorder="1" applyAlignment="1">
      <alignment horizontal="center" vertical="center"/>
    </xf>
    <xf numFmtId="164" fontId="10" fillId="2" borderId="2" xfId="1" applyNumberFormat="1" applyFont="1" applyFill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/>
    </xf>
    <xf numFmtId="1" fontId="10" fillId="2" borderId="9" xfId="0" applyNumberFormat="1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1" fontId="9" fillId="2" borderId="11" xfId="0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I9" sqref="I9"/>
    </sheetView>
  </sheetViews>
  <sheetFormatPr baseColWidth="10" defaultColWidth="8.88671875" defaultRowHeight="14.4" x14ac:dyDescent="0.3"/>
  <sheetData>
    <row r="1" spans="1:7" ht="17.399999999999999" x14ac:dyDescent="0.35">
      <c r="A1" s="1" t="s">
        <v>84</v>
      </c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t="s">
        <v>7</v>
      </c>
      <c r="B3">
        <v>56856</v>
      </c>
      <c r="C3">
        <v>62546</v>
      </c>
      <c r="D3">
        <v>67803</v>
      </c>
      <c r="E3">
        <v>81916</v>
      </c>
      <c r="F3">
        <v>92375</v>
      </c>
      <c r="G3">
        <v>116055</v>
      </c>
    </row>
    <row r="4" spans="1:7" x14ac:dyDescent="0.3">
      <c r="A4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88671875" defaultRowHeight="14.4" x14ac:dyDescent="0.3"/>
  <sheetData>
    <row r="1" spans="1:7" ht="17.399999999999999" x14ac:dyDescent="0.35">
      <c r="A1" s="1" t="s">
        <v>85</v>
      </c>
    </row>
    <row r="2" spans="1:7" x14ac:dyDescent="0.3">
      <c r="A2" s="2" t="s">
        <v>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t="s">
        <v>11</v>
      </c>
      <c r="B3">
        <v>1549</v>
      </c>
      <c r="C3">
        <v>1976</v>
      </c>
      <c r="D3">
        <v>3384</v>
      </c>
      <c r="E3">
        <v>5449</v>
      </c>
      <c r="F3">
        <v>5939</v>
      </c>
      <c r="G3">
        <v>7098</v>
      </c>
    </row>
    <row r="4" spans="1:7" x14ac:dyDescent="0.3">
      <c r="A4" t="s">
        <v>9</v>
      </c>
      <c r="B4">
        <v>1054</v>
      </c>
      <c r="C4">
        <v>1303</v>
      </c>
      <c r="D4">
        <v>2206</v>
      </c>
      <c r="E4">
        <v>3524</v>
      </c>
      <c r="F4">
        <v>3730</v>
      </c>
      <c r="G4">
        <v>4312</v>
      </c>
    </row>
    <row r="5" spans="1:7" x14ac:dyDescent="0.3">
      <c r="A5" t="s">
        <v>10</v>
      </c>
      <c r="B5">
        <v>495</v>
      </c>
      <c r="C5">
        <v>673</v>
      </c>
      <c r="D5">
        <v>1178</v>
      </c>
      <c r="E5">
        <v>1925</v>
      </c>
      <c r="F5">
        <v>2209</v>
      </c>
      <c r="G5">
        <v>2786</v>
      </c>
    </row>
    <row r="6" spans="1:7" x14ac:dyDescent="0.3">
      <c r="A6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baseColWidth="10" defaultColWidth="8.88671875" defaultRowHeight="14.4" x14ac:dyDescent="0.3"/>
  <cols>
    <col min="1" max="1" width="118.109375" bestFit="1" customWidth="1"/>
  </cols>
  <sheetData>
    <row r="1" spans="1:7" ht="17.399999999999999" x14ac:dyDescent="0.35">
      <c r="A1" s="1" t="s">
        <v>95</v>
      </c>
    </row>
    <row r="2" spans="1:7" x14ac:dyDescent="0.3">
      <c r="A2" s="2" t="s">
        <v>98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t="s">
        <v>96</v>
      </c>
      <c r="B3">
        <v>1549</v>
      </c>
      <c r="C3">
        <v>1976</v>
      </c>
      <c r="D3">
        <v>3384</v>
      </c>
      <c r="E3">
        <v>5449</v>
      </c>
      <c r="F3">
        <v>5939</v>
      </c>
      <c r="G3">
        <v>7098</v>
      </c>
    </row>
    <row r="4" spans="1:7" x14ac:dyDescent="0.3">
      <c r="A4" t="s">
        <v>178</v>
      </c>
      <c r="B4">
        <v>340</v>
      </c>
      <c r="C4">
        <v>505</v>
      </c>
      <c r="D4">
        <v>893</v>
      </c>
      <c r="E4">
        <v>1523</v>
      </c>
      <c r="F4">
        <v>1756</v>
      </c>
      <c r="G4">
        <v>2034</v>
      </c>
    </row>
    <row r="5" spans="1:7" x14ac:dyDescent="0.3">
      <c r="A5" t="s">
        <v>100</v>
      </c>
      <c r="B5">
        <v>1209</v>
      </c>
      <c r="C5">
        <v>1471</v>
      </c>
      <c r="D5">
        <v>2491</v>
      </c>
      <c r="E5">
        <v>3926</v>
      </c>
      <c r="F5">
        <v>4183</v>
      </c>
      <c r="G5">
        <v>5064</v>
      </c>
    </row>
    <row r="6" spans="1:7" x14ac:dyDescent="0.3">
      <c r="A6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106.88671875" bestFit="1" customWidth="1"/>
  </cols>
  <sheetData>
    <row r="1" spans="1:7" ht="17.399999999999999" x14ac:dyDescent="0.35">
      <c r="A1" s="1" t="s">
        <v>86</v>
      </c>
    </row>
    <row r="2" spans="1:7" x14ac:dyDescent="0.3">
      <c r="A2" s="2" t="s">
        <v>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t="s">
        <v>96</v>
      </c>
      <c r="B3">
        <v>58909</v>
      </c>
      <c r="C3">
        <v>67622</v>
      </c>
      <c r="D3">
        <v>75949</v>
      </c>
      <c r="E3">
        <v>101096</v>
      </c>
      <c r="F3">
        <v>112564</v>
      </c>
      <c r="G3">
        <v>155145</v>
      </c>
    </row>
    <row r="4" spans="1:7" x14ac:dyDescent="0.3">
      <c r="A4" t="s">
        <v>9</v>
      </c>
      <c r="B4">
        <v>26976</v>
      </c>
      <c r="C4">
        <v>31154</v>
      </c>
      <c r="D4">
        <v>35476</v>
      </c>
      <c r="E4">
        <v>48480</v>
      </c>
      <c r="F4">
        <v>53907</v>
      </c>
      <c r="G4">
        <v>74534</v>
      </c>
    </row>
    <row r="5" spans="1:7" x14ac:dyDescent="0.3">
      <c r="A5" t="s">
        <v>10</v>
      </c>
      <c r="B5">
        <v>31933</v>
      </c>
      <c r="C5">
        <v>36468</v>
      </c>
      <c r="D5">
        <v>40473</v>
      </c>
      <c r="E5">
        <v>52616</v>
      </c>
      <c r="F5">
        <v>58657</v>
      </c>
      <c r="G5">
        <v>80611</v>
      </c>
    </row>
    <row r="6" spans="1:7" x14ac:dyDescent="0.3">
      <c r="A6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A8" sqref="A8:XFD8"/>
    </sheetView>
  </sheetViews>
  <sheetFormatPr baseColWidth="10" defaultColWidth="8.88671875" defaultRowHeight="14.4" x14ac:dyDescent="0.3"/>
  <cols>
    <col min="1" max="1" width="95.88671875" bestFit="1" customWidth="1"/>
  </cols>
  <sheetData>
    <row r="1" spans="1:7" ht="17.399999999999999" x14ac:dyDescent="0.35">
      <c r="A1" s="1" t="s">
        <v>101</v>
      </c>
    </row>
    <row r="2" spans="1:7" x14ac:dyDescent="0.3">
      <c r="A2" s="2" t="s">
        <v>98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t="s">
        <v>96</v>
      </c>
      <c r="B3">
        <v>58909</v>
      </c>
      <c r="C3">
        <v>67622</v>
      </c>
      <c r="D3">
        <v>75949</v>
      </c>
      <c r="E3">
        <v>101096</v>
      </c>
      <c r="F3">
        <v>112564</v>
      </c>
      <c r="G3">
        <v>155205</v>
      </c>
    </row>
    <row r="4" spans="1:7" x14ac:dyDescent="0.3">
      <c r="A4" t="s">
        <v>99</v>
      </c>
      <c r="B4">
        <v>34464</v>
      </c>
      <c r="C4">
        <v>34029</v>
      </c>
      <c r="D4">
        <v>38403</v>
      </c>
      <c r="E4">
        <v>50640</v>
      </c>
      <c r="F4">
        <v>53975</v>
      </c>
      <c r="G4">
        <v>73602</v>
      </c>
    </row>
    <row r="5" spans="1:7" x14ac:dyDescent="0.3">
      <c r="A5" t="s">
        <v>100</v>
      </c>
      <c r="B5">
        <v>24445</v>
      </c>
      <c r="C5">
        <v>33593</v>
      </c>
      <c r="D5">
        <v>37546</v>
      </c>
      <c r="E5">
        <v>50456</v>
      </c>
      <c r="F5">
        <v>58589</v>
      </c>
      <c r="G5">
        <v>81603</v>
      </c>
    </row>
    <row r="6" spans="1:7" x14ac:dyDescent="0.3">
      <c r="A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activeCell="A23" sqref="A23"/>
    </sheetView>
  </sheetViews>
  <sheetFormatPr baseColWidth="10" defaultColWidth="8.88671875" defaultRowHeight="14.4" x14ac:dyDescent="0.3"/>
  <cols>
    <col min="1" max="1" width="74.21875" bestFit="1" customWidth="1"/>
  </cols>
  <sheetData>
    <row r="1" spans="1:10" ht="17.399999999999999" x14ac:dyDescent="0.35">
      <c r="A1" s="1" t="s">
        <v>97</v>
      </c>
    </row>
    <row r="2" spans="1:10" x14ac:dyDescent="0.3">
      <c r="A2" s="2" t="s">
        <v>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</row>
    <row r="3" spans="1:10" x14ac:dyDescent="0.3">
      <c r="A3" t="s">
        <v>16</v>
      </c>
      <c r="B3">
        <v>12</v>
      </c>
      <c r="C3">
        <v>28</v>
      </c>
      <c r="D3">
        <v>17</v>
      </c>
      <c r="E3">
        <v>15</v>
      </c>
      <c r="F3">
        <v>29</v>
      </c>
      <c r="G3">
        <v>32</v>
      </c>
      <c r="H3">
        <v>33</v>
      </c>
      <c r="I3">
        <v>36</v>
      </c>
      <c r="J3">
        <v>40</v>
      </c>
    </row>
    <row r="4" spans="1:10" x14ac:dyDescent="0.3">
      <c r="A4" t="s">
        <v>17</v>
      </c>
      <c r="B4">
        <v>0.47</v>
      </c>
      <c r="C4">
        <v>1.1100000000000001</v>
      </c>
      <c r="D4">
        <v>0.67</v>
      </c>
      <c r="E4">
        <v>0.4</v>
      </c>
      <c r="F4">
        <v>0.69</v>
      </c>
      <c r="G4">
        <v>0.74</v>
      </c>
      <c r="H4">
        <v>0.75</v>
      </c>
      <c r="I4">
        <v>0.73</v>
      </c>
      <c r="J4">
        <v>0.81</v>
      </c>
    </row>
    <row r="5" spans="1:10" x14ac:dyDescent="0.3">
      <c r="A5" t="s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>
      <selection activeCell="A4" sqref="A4:A16"/>
    </sheetView>
  </sheetViews>
  <sheetFormatPr baseColWidth="10" defaultColWidth="8.88671875" defaultRowHeight="14.4" x14ac:dyDescent="0.3"/>
  <cols>
    <col min="1" max="1" width="90.88671875" bestFit="1" customWidth="1"/>
  </cols>
  <sheetData>
    <row r="1" spans="1:10" ht="17.399999999999999" x14ac:dyDescent="0.35">
      <c r="A1" s="1" t="s">
        <v>103</v>
      </c>
    </row>
    <row r="2" spans="1:10" x14ac:dyDescent="0.3">
      <c r="A2" s="2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</row>
    <row r="3" spans="1:10" x14ac:dyDescent="0.3">
      <c r="A3" t="s">
        <v>104</v>
      </c>
      <c r="B3">
        <v>29</v>
      </c>
      <c r="C3">
        <v>0.69493086276625138</v>
      </c>
      <c r="D3">
        <v>32</v>
      </c>
      <c r="E3">
        <v>0.74920449700634273</v>
      </c>
      <c r="F3">
        <v>33</v>
      </c>
      <c r="G3">
        <v>0.75479690588162907</v>
      </c>
      <c r="H3">
        <v>36</v>
      </c>
      <c r="I3">
        <v>0.73058884914327338</v>
      </c>
      <c r="J3">
        <v>0.81</v>
      </c>
    </row>
    <row r="4" spans="1:10" x14ac:dyDescent="0.3">
      <c r="A4" t="s">
        <v>105</v>
      </c>
      <c r="B4">
        <v>1</v>
      </c>
      <c r="C4">
        <v>0.19412236309035041</v>
      </c>
      <c r="D4">
        <v>1</v>
      </c>
      <c r="E4">
        <v>0.18940362480657161</v>
      </c>
      <c r="F4">
        <v>1</v>
      </c>
      <c r="G4">
        <v>0.18479719615478099</v>
      </c>
      <c r="H4">
        <v>0</v>
      </c>
      <c r="I4">
        <v>0</v>
      </c>
      <c r="J4">
        <v>0.47</v>
      </c>
    </row>
    <row r="5" spans="1:10" x14ac:dyDescent="0.3">
      <c r="A5" t="s">
        <v>106</v>
      </c>
      <c r="B5">
        <v>1</v>
      </c>
      <c r="C5">
        <v>0.30343948658038872</v>
      </c>
      <c r="D5">
        <v>1</v>
      </c>
      <c r="E5">
        <v>0.29849053337273412</v>
      </c>
      <c r="F5">
        <v>2</v>
      </c>
      <c r="G5">
        <v>0.58723652668783155</v>
      </c>
      <c r="H5">
        <v>1</v>
      </c>
      <c r="I5">
        <v>0.24808313197897019</v>
      </c>
      <c r="J5">
        <v>0</v>
      </c>
    </row>
    <row r="6" spans="1:10" x14ac:dyDescent="0.3">
      <c r="A6" t="s">
        <v>107</v>
      </c>
      <c r="B6">
        <v>2</v>
      </c>
      <c r="C6">
        <v>0.51720615578766616</v>
      </c>
      <c r="D6">
        <v>1</v>
      </c>
      <c r="E6">
        <v>0.25257117455699019</v>
      </c>
      <c r="F6">
        <v>1</v>
      </c>
      <c r="G6">
        <v>0.2466764452013212</v>
      </c>
      <c r="H6">
        <v>0</v>
      </c>
      <c r="I6">
        <v>0</v>
      </c>
      <c r="J6">
        <v>0</v>
      </c>
    </row>
    <row r="7" spans="1:10" x14ac:dyDescent="0.3">
      <c r="A7" t="s">
        <v>108</v>
      </c>
      <c r="B7">
        <v>1</v>
      </c>
      <c r="C7">
        <v>0.26596381296360821</v>
      </c>
      <c r="D7">
        <v>2</v>
      </c>
      <c r="E7">
        <v>0.5233245763687554</v>
      </c>
      <c r="F7">
        <v>1</v>
      </c>
      <c r="G7">
        <v>0.25742596417802532</v>
      </c>
      <c r="H7">
        <v>1</v>
      </c>
      <c r="I7">
        <v>0.22599358099236169</v>
      </c>
      <c r="J7">
        <v>0.45</v>
      </c>
    </row>
    <row r="8" spans="1:10" x14ac:dyDescent="0.3">
      <c r="A8" t="s">
        <v>109</v>
      </c>
      <c r="B8">
        <v>1</v>
      </c>
      <c r="C8">
        <v>0.30399202324931002</v>
      </c>
      <c r="D8">
        <v>1</v>
      </c>
      <c r="E8">
        <v>0.30135186446398537</v>
      </c>
      <c r="F8">
        <v>2</v>
      </c>
      <c r="G8">
        <v>0.59745990108023206</v>
      </c>
      <c r="H8">
        <v>1</v>
      </c>
      <c r="I8">
        <v>0.25555205689671667</v>
      </c>
      <c r="J8">
        <v>0.51</v>
      </c>
    </row>
    <row r="9" spans="1:10" x14ac:dyDescent="0.3">
      <c r="A9" t="s">
        <v>110</v>
      </c>
      <c r="B9">
        <v>2</v>
      </c>
      <c r="C9">
        <v>0.65332788893425886</v>
      </c>
      <c r="D9">
        <v>1</v>
      </c>
      <c r="E9">
        <v>0.32127378630795378</v>
      </c>
      <c r="F9">
        <v>1</v>
      </c>
      <c r="G9">
        <v>0.31596716788533769</v>
      </c>
      <c r="H9">
        <v>2</v>
      </c>
      <c r="I9">
        <v>0.61746846748415452</v>
      </c>
      <c r="J9">
        <v>1.23</v>
      </c>
    </row>
    <row r="10" spans="1:10" x14ac:dyDescent="0.3">
      <c r="A10" t="s">
        <v>111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5.5848109197769196</v>
      </c>
      <c r="J10">
        <v>1.39</v>
      </c>
    </row>
    <row r="11" spans="1:10" x14ac:dyDescent="0.3">
      <c r="A11" t="s">
        <v>112</v>
      </c>
      <c r="B11">
        <v>5</v>
      </c>
      <c r="C11">
        <v>3.3377837116154869</v>
      </c>
      <c r="D11">
        <v>6</v>
      </c>
      <c r="E11">
        <v>3.902261360458386</v>
      </c>
      <c r="F11">
        <v>5</v>
      </c>
      <c r="G11">
        <v>3.1681557445502468</v>
      </c>
      <c r="H11">
        <v>3</v>
      </c>
      <c r="I11">
        <v>1.626380412417151</v>
      </c>
      <c r="J11">
        <v>2.39</v>
      </c>
    </row>
    <row r="12" spans="1:10" x14ac:dyDescent="0.3">
      <c r="A12" t="s">
        <v>113</v>
      </c>
      <c r="B12">
        <v>1</v>
      </c>
      <c r="C12">
        <v>1.181544278371832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114</v>
      </c>
      <c r="B13">
        <v>1</v>
      </c>
      <c r="C13">
        <v>0.31676243450936659</v>
      </c>
      <c r="D13">
        <v>1</v>
      </c>
      <c r="E13">
        <v>0.30951415562990781</v>
      </c>
      <c r="F13">
        <v>2</v>
      </c>
      <c r="G13">
        <v>0.6048552293786944</v>
      </c>
      <c r="H13">
        <v>3</v>
      </c>
      <c r="I13">
        <v>0.82627487403747091</v>
      </c>
      <c r="J13">
        <v>0.55000000000000004</v>
      </c>
    </row>
    <row r="14" spans="1:10" x14ac:dyDescent="0.3">
      <c r="A14" t="s">
        <v>115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116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117</v>
      </c>
      <c r="B16">
        <v>14</v>
      </c>
      <c r="C16">
        <v>1.1315728215606651</v>
      </c>
      <c r="D16">
        <v>18</v>
      </c>
      <c r="E16">
        <v>1.406048978935043</v>
      </c>
      <c r="F16">
        <v>18</v>
      </c>
      <c r="G16">
        <v>1.3588374115238031</v>
      </c>
      <c r="H16">
        <v>21</v>
      </c>
      <c r="I16">
        <v>1.451517785049202</v>
      </c>
    </row>
    <row r="17" spans="1:1" x14ac:dyDescent="0.3">
      <c r="A17" t="s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7"/>
  <sheetViews>
    <sheetView workbookViewId="0">
      <selection activeCell="I22" sqref="I22"/>
    </sheetView>
  </sheetViews>
  <sheetFormatPr baseColWidth="10" defaultColWidth="8.88671875" defaultRowHeight="14.4" x14ac:dyDescent="0.3"/>
  <cols>
    <col min="1" max="1" width="82.5546875" bestFit="1" customWidth="1"/>
  </cols>
  <sheetData>
    <row r="1" spans="1:19" ht="17.399999999999999" x14ac:dyDescent="0.35">
      <c r="A1" s="1" t="s">
        <v>87</v>
      </c>
    </row>
    <row r="2" spans="1:19" x14ac:dyDescent="0.3">
      <c r="A2" s="2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45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</row>
    <row r="3" spans="1:19" x14ac:dyDescent="0.3">
      <c r="A3" t="s">
        <v>104</v>
      </c>
      <c r="B3">
        <v>1871</v>
      </c>
      <c r="C3">
        <v>31</v>
      </c>
      <c r="D3">
        <v>1902</v>
      </c>
      <c r="E3">
        <v>1728</v>
      </c>
      <c r="F3">
        <v>28</v>
      </c>
      <c r="G3">
        <v>1756</v>
      </c>
      <c r="H3">
        <v>1868</v>
      </c>
      <c r="I3">
        <v>48</v>
      </c>
      <c r="J3">
        <v>1916</v>
      </c>
      <c r="K3">
        <v>2250</v>
      </c>
      <c r="L3">
        <v>53</v>
      </c>
      <c r="M3">
        <v>2303</v>
      </c>
      <c r="N3">
        <v>2236</v>
      </c>
      <c r="O3">
        <v>35</v>
      </c>
      <c r="P3">
        <v>2271</v>
      </c>
      <c r="Q3">
        <v>2318</v>
      </c>
      <c r="R3">
        <v>72</v>
      </c>
      <c r="S3">
        <v>2390</v>
      </c>
    </row>
    <row r="4" spans="1:19" x14ac:dyDescent="0.3">
      <c r="A4" t="s">
        <v>105</v>
      </c>
      <c r="B4">
        <v>73</v>
      </c>
      <c r="D4">
        <v>73</v>
      </c>
      <c r="E4">
        <v>73</v>
      </c>
      <c r="G4">
        <v>73</v>
      </c>
      <c r="H4">
        <v>77</v>
      </c>
      <c r="J4">
        <v>77</v>
      </c>
      <c r="K4">
        <v>89</v>
      </c>
      <c r="M4">
        <v>89</v>
      </c>
      <c r="N4">
        <v>79</v>
      </c>
      <c r="P4">
        <v>79</v>
      </c>
      <c r="Q4">
        <v>64</v>
      </c>
      <c r="R4">
        <v>0</v>
      </c>
      <c r="S4">
        <v>64</v>
      </c>
    </row>
    <row r="5" spans="1:19" x14ac:dyDescent="0.3">
      <c r="A5" t="s">
        <v>106</v>
      </c>
      <c r="B5">
        <v>41</v>
      </c>
      <c r="D5">
        <v>41</v>
      </c>
      <c r="E5">
        <v>41</v>
      </c>
      <c r="G5">
        <v>41</v>
      </c>
      <c r="H5">
        <v>34</v>
      </c>
      <c r="J5">
        <v>34</v>
      </c>
      <c r="K5">
        <v>41</v>
      </c>
      <c r="M5">
        <v>41</v>
      </c>
      <c r="N5">
        <v>30</v>
      </c>
      <c r="P5">
        <v>30</v>
      </c>
      <c r="Q5">
        <v>40</v>
      </c>
      <c r="R5">
        <v>0</v>
      </c>
      <c r="S5">
        <v>40</v>
      </c>
    </row>
    <row r="6" spans="1:19" x14ac:dyDescent="0.3">
      <c r="A6" t="s">
        <v>107</v>
      </c>
      <c r="B6">
        <v>55</v>
      </c>
      <c r="D6">
        <v>55</v>
      </c>
      <c r="E6">
        <v>55</v>
      </c>
      <c r="G6">
        <v>55</v>
      </c>
      <c r="H6">
        <v>54</v>
      </c>
      <c r="J6">
        <v>54</v>
      </c>
      <c r="K6">
        <v>54</v>
      </c>
      <c r="M6">
        <v>54</v>
      </c>
      <c r="N6">
        <v>52</v>
      </c>
      <c r="P6">
        <v>52</v>
      </c>
      <c r="Q6">
        <v>38</v>
      </c>
      <c r="R6">
        <v>0</v>
      </c>
      <c r="S6">
        <v>38</v>
      </c>
    </row>
    <row r="7" spans="1:19" x14ac:dyDescent="0.3">
      <c r="A7" t="s">
        <v>108</v>
      </c>
      <c r="B7">
        <v>31</v>
      </c>
      <c r="D7">
        <v>31</v>
      </c>
      <c r="E7">
        <v>31</v>
      </c>
      <c r="G7">
        <v>31</v>
      </c>
      <c r="H7">
        <v>29</v>
      </c>
      <c r="J7">
        <v>29</v>
      </c>
      <c r="K7">
        <v>34</v>
      </c>
      <c r="M7">
        <v>34</v>
      </c>
      <c r="N7">
        <v>37</v>
      </c>
      <c r="P7">
        <v>37</v>
      </c>
      <c r="Q7">
        <v>38</v>
      </c>
      <c r="R7">
        <v>0</v>
      </c>
      <c r="S7">
        <v>38</v>
      </c>
    </row>
    <row r="8" spans="1:19" x14ac:dyDescent="0.3">
      <c r="A8" t="s">
        <v>109</v>
      </c>
      <c r="B8">
        <v>335</v>
      </c>
      <c r="D8">
        <v>335</v>
      </c>
      <c r="E8">
        <v>335</v>
      </c>
      <c r="G8">
        <v>335</v>
      </c>
      <c r="H8">
        <v>457</v>
      </c>
      <c r="J8">
        <v>457</v>
      </c>
      <c r="K8">
        <v>354</v>
      </c>
      <c r="M8">
        <v>354</v>
      </c>
      <c r="N8">
        <v>268</v>
      </c>
      <c r="P8">
        <v>268</v>
      </c>
      <c r="Q8">
        <v>332</v>
      </c>
      <c r="R8">
        <v>0</v>
      </c>
      <c r="S8">
        <v>332</v>
      </c>
    </row>
    <row r="9" spans="1:19" x14ac:dyDescent="0.3">
      <c r="A9" t="s">
        <v>110</v>
      </c>
      <c r="B9">
        <v>40</v>
      </c>
      <c r="D9">
        <v>40</v>
      </c>
      <c r="E9">
        <v>57</v>
      </c>
      <c r="G9">
        <v>57</v>
      </c>
      <c r="H9">
        <v>57</v>
      </c>
      <c r="J9">
        <v>57</v>
      </c>
      <c r="K9">
        <v>82</v>
      </c>
      <c r="M9">
        <v>82</v>
      </c>
      <c r="N9">
        <v>57</v>
      </c>
      <c r="P9">
        <v>57</v>
      </c>
      <c r="Q9">
        <v>77</v>
      </c>
      <c r="R9">
        <v>0</v>
      </c>
      <c r="S9">
        <v>77</v>
      </c>
    </row>
    <row r="10" spans="1:19" x14ac:dyDescent="0.3">
      <c r="A10" t="s">
        <v>111</v>
      </c>
      <c r="B10">
        <v>5</v>
      </c>
      <c r="D10">
        <v>5</v>
      </c>
      <c r="E10">
        <v>8</v>
      </c>
      <c r="G10">
        <v>8</v>
      </c>
      <c r="H10">
        <v>18</v>
      </c>
      <c r="J10">
        <v>18</v>
      </c>
      <c r="K10">
        <v>14</v>
      </c>
      <c r="M10">
        <v>14</v>
      </c>
      <c r="N10">
        <v>14</v>
      </c>
      <c r="P10">
        <v>14</v>
      </c>
      <c r="Q10">
        <v>10</v>
      </c>
      <c r="R10">
        <v>0</v>
      </c>
      <c r="S10">
        <v>10</v>
      </c>
    </row>
    <row r="11" spans="1:19" x14ac:dyDescent="0.3">
      <c r="A11" t="s">
        <v>112</v>
      </c>
      <c r="B11">
        <v>427</v>
      </c>
      <c r="C11">
        <v>5</v>
      </c>
      <c r="D11">
        <v>432</v>
      </c>
      <c r="E11">
        <v>392</v>
      </c>
      <c r="F11">
        <v>8</v>
      </c>
      <c r="G11">
        <v>400</v>
      </c>
      <c r="H11">
        <v>392</v>
      </c>
      <c r="I11">
        <v>4</v>
      </c>
      <c r="J11">
        <v>396</v>
      </c>
      <c r="K11">
        <v>399</v>
      </c>
      <c r="L11">
        <v>12</v>
      </c>
      <c r="M11">
        <v>411</v>
      </c>
      <c r="N11">
        <v>312</v>
      </c>
      <c r="P11">
        <v>312</v>
      </c>
      <c r="Q11">
        <v>331</v>
      </c>
      <c r="R11">
        <v>24</v>
      </c>
      <c r="S11">
        <v>355</v>
      </c>
    </row>
    <row r="12" spans="1:19" x14ac:dyDescent="0.3">
      <c r="A12" t="s">
        <v>113</v>
      </c>
      <c r="B12">
        <v>4</v>
      </c>
      <c r="D12">
        <v>4</v>
      </c>
      <c r="E12">
        <v>4</v>
      </c>
      <c r="G12">
        <v>4</v>
      </c>
      <c r="H12">
        <v>4</v>
      </c>
      <c r="J12">
        <v>4</v>
      </c>
      <c r="K12">
        <v>6</v>
      </c>
      <c r="M12">
        <v>6</v>
      </c>
      <c r="N12">
        <v>178</v>
      </c>
      <c r="P12">
        <v>178</v>
      </c>
      <c r="Q12">
        <v>6</v>
      </c>
      <c r="R12">
        <v>0</v>
      </c>
      <c r="S12">
        <v>6</v>
      </c>
    </row>
    <row r="13" spans="1:19" x14ac:dyDescent="0.3">
      <c r="A13" t="s">
        <v>114</v>
      </c>
      <c r="B13">
        <v>60</v>
      </c>
      <c r="D13">
        <v>60</v>
      </c>
      <c r="E13">
        <v>60</v>
      </c>
      <c r="G13">
        <v>60</v>
      </c>
      <c r="H13">
        <v>60</v>
      </c>
      <c r="J13">
        <v>60</v>
      </c>
      <c r="K13">
        <v>57</v>
      </c>
      <c r="M13">
        <v>57</v>
      </c>
      <c r="N13">
        <v>54</v>
      </c>
      <c r="P13">
        <v>54</v>
      </c>
      <c r="Q13">
        <v>40</v>
      </c>
      <c r="R13">
        <v>0</v>
      </c>
      <c r="S13">
        <v>40</v>
      </c>
    </row>
    <row r="14" spans="1:19" x14ac:dyDescent="0.3">
      <c r="A14" t="s">
        <v>115</v>
      </c>
      <c r="B14">
        <v>35</v>
      </c>
      <c r="D14">
        <v>35</v>
      </c>
      <c r="E14">
        <v>18</v>
      </c>
      <c r="G14">
        <v>18</v>
      </c>
      <c r="H14">
        <v>32</v>
      </c>
      <c r="J14">
        <v>32</v>
      </c>
      <c r="K14">
        <v>18</v>
      </c>
      <c r="M14">
        <v>18</v>
      </c>
      <c r="N14">
        <v>13</v>
      </c>
      <c r="P14">
        <v>13</v>
      </c>
      <c r="Q14">
        <v>16</v>
      </c>
      <c r="R14">
        <v>0</v>
      </c>
      <c r="S14">
        <v>16</v>
      </c>
    </row>
    <row r="15" spans="1:19" x14ac:dyDescent="0.3">
      <c r="A15" t="s">
        <v>116</v>
      </c>
      <c r="B15">
        <v>5</v>
      </c>
      <c r="D15">
        <v>5</v>
      </c>
      <c r="E15">
        <v>4</v>
      </c>
      <c r="G15">
        <v>4</v>
      </c>
      <c r="H15">
        <v>4</v>
      </c>
      <c r="J15">
        <v>4</v>
      </c>
      <c r="K15">
        <v>16</v>
      </c>
      <c r="M15">
        <v>16</v>
      </c>
      <c r="N15">
        <v>7</v>
      </c>
      <c r="P15">
        <v>7</v>
      </c>
      <c r="Q15">
        <v>3</v>
      </c>
      <c r="R15">
        <v>0</v>
      </c>
      <c r="S15">
        <v>3</v>
      </c>
    </row>
    <row r="16" spans="1:19" x14ac:dyDescent="0.3">
      <c r="A16" t="s">
        <v>117</v>
      </c>
      <c r="B16">
        <v>760</v>
      </c>
      <c r="C16">
        <v>26</v>
      </c>
      <c r="D16">
        <v>786</v>
      </c>
      <c r="E16">
        <v>650</v>
      </c>
      <c r="F16">
        <v>20</v>
      </c>
      <c r="G16">
        <v>670</v>
      </c>
      <c r="H16">
        <v>650</v>
      </c>
      <c r="I16">
        <v>44</v>
      </c>
      <c r="J16">
        <v>694</v>
      </c>
      <c r="K16">
        <v>1086</v>
      </c>
      <c r="L16">
        <v>41</v>
      </c>
      <c r="M16">
        <v>1127</v>
      </c>
      <c r="N16">
        <v>1135</v>
      </c>
      <c r="O16">
        <v>35</v>
      </c>
      <c r="P16">
        <v>1170</v>
      </c>
      <c r="Q16">
        <v>1323</v>
      </c>
      <c r="R16">
        <v>48</v>
      </c>
      <c r="S16">
        <v>1371</v>
      </c>
    </row>
    <row r="17" spans="1:1" x14ac:dyDescent="0.3">
      <c r="A17" t="s">
        <v>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9"/>
  <sheetViews>
    <sheetView workbookViewId="0">
      <selection activeCell="F6" sqref="F6"/>
    </sheetView>
  </sheetViews>
  <sheetFormatPr baseColWidth="10" defaultColWidth="8.88671875" defaultRowHeight="14.4" x14ac:dyDescent="0.3"/>
  <cols>
    <col min="1" max="1" width="89.21875" bestFit="1" customWidth="1"/>
    <col min="2" max="2" width="13.77734375" bestFit="1" customWidth="1"/>
    <col min="3" max="3" width="14.109375" bestFit="1" customWidth="1"/>
    <col min="4" max="4" width="13.5546875" bestFit="1" customWidth="1"/>
    <col min="5" max="5" width="22.21875" customWidth="1"/>
  </cols>
  <sheetData>
    <row r="1" spans="1:19" ht="30" x14ac:dyDescent="0.85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79.2" x14ac:dyDescent="0.3">
      <c r="A2" s="5" t="s">
        <v>44</v>
      </c>
      <c r="B2" s="6" t="s">
        <v>27</v>
      </c>
      <c r="C2" s="7" t="s">
        <v>28</v>
      </c>
      <c r="D2" s="6" t="s">
        <v>119</v>
      </c>
      <c r="E2" s="8" t="s">
        <v>120</v>
      </c>
      <c r="F2" s="8" t="s">
        <v>121</v>
      </c>
      <c r="G2" s="8" t="s">
        <v>122</v>
      </c>
      <c r="H2" s="8" t="s">
        <v>123</v>
      </c>
      <c r="I2" s="8" t="s">
        <v>124</v>
      </c>
      <c r="J2" s="8" t="s">
        <v>125</v>
      </c>
      <c r="K2" s="8" t="s">
        <v>126</v>
      </c>
      <c r="L2" s="8" t="s">
        <v>127</v>
      </c>
      <c r="M2" s="8" t="s">
        <v>128</v>
      </c>
      <c r="N2" s="8" t="s">
        <v>129</v>
      </c>
      <c r="O2" s="8" t="s">
        <v>130</v>
      </c>
      <c r="P2" s="8" t="s">
        <v>131</v>
      </c>
      <c r="Q2" s="8" t="s">
        <v>132</v>
      </c>
      <c r="R2" s="8" t="s">
        <v>133</v>
      </c>
      <c r="S2" s="8" t="s">
        <v>134</v>
      </c>
    </row>
    <row r="3" spans="1:19" ht="26.4" x14ac:dyDescent="0.3">
      <c r="A3" s="9" t="s">
        <v>46</v>
      </c>
      <c r="B3" s="10">
        <v>760</v>
      </c>
      <c r="C3" s="11"/>
      <c r="D3" s="12">
        <f>+B3+C3</f>
        <v>760</v>
      </c>
      <c r="E3" s="13">
        <v>609</v>
      </c>
      <c r="F3" s="13"/>
      <c r="G3" s="13">
        <v>609</v>
      </c>
      <c r="H3" s="14">
        <v>935</v>
      </c>
      <c r="I3" s="13" t="s">
        <v>135</v>
      </c>
      <c r="J3" s="15">
        <v>935</v>
      </c>
      <c r="K3" s="13">
        <v>1039</v>
      </c>
      <c r="L3" s="13" t="s">
        <v>135</v>
      </c>
      <c r="M3" s="13">
        <v>1039</v>
      </c>
      <c r="N3" s="13">
        <v>1017</v>
      </c>
      <c r="O3" s="13" t="s">
        <v>135</v>
      </c>
      <c r="P3" s="13">
        <v>1017</v>
      </c>
      <c r="Q3" s="13">
        <v>1017</v>
      </c>
      <c r="R3" s="13">
        <v>0</v>
      </c>
      <c r="S3" s="13">
        <v>1017</v>
      </c>
    </row>
    <row r="4" spans="1:19" ht="26.4" x14ac:dyDescent="0.3">
      <c r="A4" s="9" t="s">
        <v>143</v>
      </c>
      <c r="B4" s="10">
        <v>102</v>
      </c>
      <c r="C4" s="11"/>
      <c r="D4" s="12">
        <f t="shared" ref="D4:D7" si="0">+B4+C4</f>
        <v>102</v>
      </c>
      <c r="E4" s="13">
        <v>84</v>
      </c>
      <c r="F4" s="13"/>
      <c r="G4" s="13">
        <v>84</v>
      </c>
      <c r="H4" s="14">
        <v>108</v>
      </c>
      <c r="I4" s="13" t="s">
        <v>135</v>
      </c>
      <c r="J4" s="15">
        <v>108</v>
      </c>
      <c r="K4" s="13">
        <v>115</v>
      </c>
      <c r="L4" s="13" t="s">
        <v>135</v>
      </c>
      <c r="M4" s="13">
        <v>115</v>
      </c>
      <c r="N4" s="13">
        <v>108</v>
      </c>
      <c r="O4" s="13" t="s">
        <v>135</v>
      </c>
      <c r="P4" s="13">
        <v>108</v>
      </c>
      <c r="Q4" s="13">
        <v>108</v>
      </c>
      <c r="R4" s="13">
        <v>0</v>
      </c>
      <c r="S4" s="13">
        <v>108</v>
      </c>
    </row>
    <row r="5" spans="1:19" ht="26.4" x14ac:dyDescent="0.3">
      <c r="A5" s="9" t="s">
        <v>136</v>
      </c>
      <c r="B5" s="10">
        <v>422</v>
      </c>
      <c r="C5" s="11">
        <v>5</v>
      </c>
      <c r="D5" s="12">
        <f t="shared" si="0"/>
        <v>427</v>
      </c>
      <c r="E5" s="13">
        <v>334</v>
      </c>
      <c r="F5" s="14">
        <v>8</v>
      </c>
      <c r="G5" s="13">
        <v>342</v>
      </c>
      <c r="H5" s="14">
        <v>355</v>
      </c>
      <c r="I5" s="13">
        <v>4</v>
      </c>
      <c r="J5" s="15">
        <v>359</v>
      </c>
      <c r="K5" s="13">
        <v>371</v>
      </c>
      <c r="L5" s="15">
        <v>12</v>
      </c>
      <c r="M5" s="13">
        <v>383</v>
      </c>
      <c r="N5" s="13">
        <v>312</v>
      </c>
      <c r="O5" s="13" t="s">
        <v>135</v>
      </c>
      <c r="P5" s="13">
        <v>312</v>
      </c>
      <c r="Q5" s="13">
        <v>311</v>
      </c>
      <c r="R5" s="13">
        <v>24</v>
      </c>
      <c r="S5" s="13">
        <v>335</v>
      </c>
    </row>
    <row r="6" spans="1:19" ht="26.4" x14ac:dyDescent="0.3">
      <c r="A6" s="9" t="s">
        <v>47</v>
      </c>
      <c r="B6" s="10">
        <v>589</v>
      </c>
      <c r="C6" s="11"/>
      <c r="D6" s="12">
        <f t="shared" si="0"/>
        <v>589</v>
      </c>
      <c r="E6" s="13">
        <v>288</v>
      </c>
      <c r="F6" s="13" t="s">
        <v>135</v>
      </c>
      <c r="G6" s="13">
        <v>288</v>
      </c>
      <c r="H6" s="14">
        <v>444</v>
      </c>
      <c r="I6" s="13" t="s">
        <v>135</v>
      </c>
      <c r="J6" s="15">
        <v>444</v>
      </c>
      <c r="K6" s="13">
        <v>221</v>
      </c>
      <c r="L6" s="13" t="s">
        <v>135</v>
      </c>
      <c r="M6" s="13">
        <v>221</v>
      </c>
      <c r="N6" s="13">
        <v>268</v>
      </c>
      <c r="O6" s="13" t="s">
        <v>135</v>
      </c>
      <c r="P6" s="13">
        <v>268</v>
      </c>
      <c r="Q6" s="13">
        <v>332</v>
      </c>
      <c r="R6" s="13">
        <v>0</v>
      </c>
      <c r="S6" s="13">
        <v>332</v>
      </c>
    </row>
    <row r="7" spans="1:19" ht="26.4" x14ac:dyDescent="0.3">
      <c r="A7" s="9" t="s">
        <v>65</v>
      </c>
      <c r="B7" s="16">
        <v>0</v>
      </c>
      <c r="C7" s="16">
        <v>26</v>
      </c>
      <c r="D7" s="17">
        <f t="shared" si="0"/>
        <v>26</v>
      </c>
      <c r="E7" s="15">
        <v>0</v>
      </c>
      <c r="F7" s="15">
        <v>20</v>
      </c>
      <c r="G7" s="13">
        <v>20</v>
      </c>
      <c r="H7" s="18">
        <v>0</v>
      </c>
      <c r="I7" s="13">
        <v>44</v>
      </c>
      <c r="J7" s="15">
        <v>44</v>
      </c>
      <c r="K7" s="13">
        <v>0</v>
      </c>
      <c r="L7" s="15">
        <v>41</v>
      </c>
      <c r="M7" s="15">
        <v>41</v>
      </c>
      <c r="N7" s="13">
        <v>0</v>
      </c>
      <c r="O7" s="15">
        <v>35</v>
      </c>
      <c r="P7" s="15">
        <v>35</v>
      </c>
      <c r="Q7" s="15">
        <v>0</v>
      </c>
      <c r="R7" s="15">
        <v>48</v>
      </c>
      <c r="S7" s="15">
        <v>48</v>
      </c>
    </row>
    <row r="9" spans="1:19" ht="18" customHeight="1" x14ac:dyDescent="0.65">
      <c r="A9" s="19" t="s">
        <v>118</v>
      </c>
      <c r="B9" s="20"/>
      <c r="C9" s="20"/>
      <c r="D9" s="2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8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108.21875" bestFit="1" customWidth="1"/>
    <col min="2" max="2" width="11.5546875" bestFit="1" customWidth="1"/>
    <col min="3" max="3" width="14.109375" bestFit="1" customWidth="1"/>
    <col min="4" max="4" width="11.5546875" bestFit="1" customWidth="1"/>
  </cols>
  <sheetData>
    <row r="1" spans="1:19" ht="17.399999999999999" x14ac:dyDescent="0.35">
      <c r="A1" s="1" t="s">
        <v>89</v>
      </c>
    </row>
    <row r="2" spans="1:19" ht="105.6" x14ac:dyDescent="0.3">
      <c r="A2" s="5" t="s">
        <v>44</v>
      </c>
      <c r="B2" s="6" t="s">
        <v>48</v>
      </c>
      <c r="C2" s="7" t="s">
        <v>139</v>
      </c>
      <c r="D2" s="6" t="s">
        <v>119</v>
      </c>
      <c r="E2" s="22" t="s">
        <v>49</v>
      </c>
      <c r="F2" s="23" t="s">
        <v>140</v>
      </c>
      <c r="G2" s="22" t="s">
        <v>122</v>
      </c>
      <c r="H2" s="22" t="s">
        <v>50</v>
      </c>
      <c r="I2" s="23" t="s">
        <v>141</v>
      </c>
      <c r="J2" s="22" t="s">
        <v>125</v>
      </c>
      <c r="K2" s="22" t="s">
        <v>51</v>
      </c>
      <c r="L2" s="23" t="s">
        <v>142</v>
      </c>
      <c r="M2" s="22" t="s">
        <v>128</v>
      </c>
      <c r="N2" s="22" t="s">
        <v>52</v>
      </c>
      <c r="O2" s="23" t="s">
        <v>138</v>
      </c>
      <c r="P2" s="22" t="s">
        <v>131</v>
      </c>
      <c r="Q2" s="22" t="s">
        <v>53</v>
      </c>
      <c r="R2" s="23" t="s">
        <v>137</v>
      </c>
      <c r="S2" s="22" t="s">
        <v>134</v>
      </c>
    </row>
    <row r="3" spans="1:19" ht="26.4" x14ac:dyDescent="0.3">
      <c r="A3" s="9" t="s">
        <v>46</v>
      </c>
      <c r="B3" s="10">
        <v>760</v>
      </c>
      <c r="C3" s="11"/>
      <c r="D3" s="12">
        <f>+B3+C3</f>
        <v>760</v>
      </c>
      <c r="E3" s="15">
        <v>609</v>
      </c>
      <c r="F3" s="24"/>
      <c r="G3" s="14">
        <v>609</v>
      </c>
      <c r="H3" s="15">
        <v>935</v>
      </c>
      <c r="I3" s="24"/>
      <c r="J3" s="14">
        <v>935</v>
      </c>
      <c r="K3" s="15">
        <v>1039</v>
      </c>
      <c r="L3" s="24"/>
      <c r="M3" s="14">
        <v>1039</v>
      </c>
      <c r="N3" s="15">
        <v>1017</v>
      </c>
      <c r="O3" s="24"/>
      <c r="P3" s="14">
        <v>1017</v>
      </c>
      <c r="Q3" s="14">
        <v>1194</v>
      </c>
      <c r="R3" s="14">
        <v>0</v>
      </c>
      <c r="S3" s="14">
        <v>1194</v>
      </c>
    </row>
    <row r="4" spans="1:19" ht="26.4" x14ac:dyDescent="0.3">
      <c r="A4" s="9" t="s">
        <v>143</v>
      </c>
      <c r="B4" s="10">
        <v>102</v>
      </c>
      <c r="C4" s="11"/>
      <c r="D4" s="12">
        <f t="shared" ref="D4:D7" si="0">+B4+C4</f>
        <v>102</v>
      </c>
      <c r="E4" s="15">
        <v>84</v>
      </c>
      <c r="F4" s="24"/>
      <c r="G4" s="14">
        <v>84</v>
      </c>
      <c r="H4" s="15">
        <v>108</v>
      </c>
      <c r="I4" s="24"/>
      <c r="J4" s="14">
        <v>108</v>
      </c>
      <c r="K4" s="15">
        <v>115</v>
      </c>
      <c r="L4" s="24"/>
      <c r="M4" s="14">
        <v>115</v>
      </c>
      <c r="N4" s="15">
        <v>108</v>
      </c>
      <c r="O4" s="24"/>
      <c r="P4" s="14">
        <v>108</v>
      </c>
      <c r="Q4" s="14">
        <v>130</v>
      </c>
      <c r="R4" s="14">
        <v>0</v>
      </c>
      <c r="S4" s="14">
        <v>130</v>
      </c>
    </row>
    <row r="5" spans="1:19" ht="26.4" x14ac:dyDescent="0.3">
      <c r="A5" s="9" t="s">
        <v>136</v>
      </c>
      <c r="B5" s="10">
        <v>413</v>
      </c>
      <c r="C5" s="11">
        <v>14</v>
      </c>
      <c r="D5" s="12">
        <f t="shared" si="0"/>
        <v>427</v>
      </c>
      <c r="E5" s="15">
        <v>335</v>
      </c>
      <c r="F5" s="13">
        <v>7</v>
      </c>
      <c r="G5" s="14">
        <v>342</v>
      </c>
      <c r="H5" s="15">
        <v>358</v>
      </c>
      <c r="I5" s="13">
        <v>1</v>
      </c>
      <c r="J5" s="14">
        <v>359</v>
      </c>
      <c r="K5" s="15">
        <v>383</v>
      </c>
      <c r="L5" s="24"/>
      <c r="M5" s="14">
        <v>383</v>
      </c>
      <c r="N5" s="15">
        <v>312</v>
      </c>
      <c r="O5" s="24"/>
      <c r="P5" s="14">
        <v>312</v>
      </c>
      <c r="Q5" s="14">
        <v>335</v>
      </c>
      <c r="R5" s="14">
        <v>0</v>
      </c>
      <c r="S5" s="14">
        <v>335</v>
      </c>
    </row>
    <row r="6" spans="1:19" ht="26.4" x14ac:dyDescent="0.3">
      <c r="A6" s="9" t="s">
        <v>47</v>
      </c>
      <c r="B6" s="10">
        <v>589</v>
      </c>
      <c r="C6" s="11"/>
      <c r="D6" s="12">
        <f t="shared" si="0"/>
        <v>589</v>
      </c>
      <c r="E6" s="15">
        <v>295</v>
      </c>
      <c r="F6" s="24"/>
      <c r="G6" s="14">
        <v>295</v>
      </c>
      <c r="H6" s="15">
        <v>444</v>
      </c>
      <c r="I6" s="24"/>
      <c r="J6" s="14">
        <v>444</v>
      </c>
      <c r="K6" s="15">
        <v>218</v>
      </c>
      <c r="L6" s="13">
        <v>3</v>
      </c>
      <c r="M6" s="14">
        <v>221</v>
      </c>
      <c r="N6" s="15">
        <v>265</v>
      </c>
      <c r="O6" s="13">
        <v>3</v>
      </c>
      <c r="P6" s="14">
        <v>268</v>
      </c>
      <c r="Q6" s="14">
        <v>331</v>
      </c>
      <c r="R6" s="14">
        <v>1</v>
      </c>
      <c r="S6" s="14">
        <v>332</v>
      </c>
    </row>
    <row r="7" spans="1:19" ht="26.4" x14ac:dyDescent="0.3">
      <c r="A7" s="9" t="s">
        <v>65</v>
      </c>
      <c r="B7" s="10">
        <v>24</v>
      </c>
      <c r="C7" s="11">
        <v>2</v>
      </c>
      <c r="D7" s="12">
        <f t="shared" si="0"/>
        <v>26</v>
      </c>
      <c r="E7" s="15">
        <v>18</v>
      </c>
      <c r="F7" s="13">
        <v>3</v>
      </c>
      <c r="G7" s="14">
        <v>21</v>
      </c>
      <c r="H7" s="15">
        <v>44</v>
      </c>
      <c r="I7" s="24"/>
      <c r="J7" s="14">
        <v>44</v>
      </c>
      <c r="K7" s="15">
        <v>41</v>
      </c>
      <c r="L7" s="24"/>
      <c r="M7" s="14">
        <v>41</v>
      </c>
      <c r="N7" s="15">
        <v>35</v>
      </c>
      <c r="O7" s="24"/>
      <c r="P7" s="14">
        <v>35</v>
      </c>
      <c r="Q7" s="14">
        <v>48</v>
      </c>
      <c r="R7" s="14">
        <v>0</v>
      </c>
      <c r="S7" s="14">
        <v>48</v>
      </c>
    </row>
    <row r="8" spans="1:19" x14ac:dyDescent="0.3">
      <c r="A8" t="s">
        <v>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81.77734375" bestFit="1" customWidth="1"/>
    <col min="2" max="2" width="20.109375" bestFit="1" customWidth="1"/>
    <col min="3" max="3" width="14.21875" customWidth="1"/>
    <col min="4" max="4" width="20.33203125" customWidth="1"/>
    <col min="5" max="5" width="20.109375" bestFit="1" customWidth="1"/>
    <col min="6" max="6" width="22.33203125" customWidth="1"/>
    <col min="7" max="7" width="24" customWidth="1"/>
    <col min="8" max="8" width="27" customWidth="1"/>
    <col min="9" max="9" width="17.6640625" customWidth="1"/>
    <col min="10" max="10" width="20.88671875" bestFit="1" customWidth="1"/>
    <col min="11" max="11" width="20.109375" bestFit="1" customWidth="1"/>
    <col min="12" max="12" width="21" customWidth="1"/>
    <col min="13" max="13" width="20.6640625" customWidth="1"/>
    <col min="14" max="14" width="23.33203125" customWidth="1"/>
    <col min="15" max="15" width="21.88671875" customWidth="1"/>
    <col min="16" max="16" width="21" customWidth="1"/>
  </cols>
  <sheetData>
    <row r="1" spans="1:16" ht="17.399999999999999" x14ac:dyDescent="0.35">
      <c r="A1" s="1" t="s">
        <v>90</v>
      </c>
    </row>
    <row r="2" spans="1:16" ht="52.8" x14ac:dyDescent="0.3">
      <c r="A2" s="25" t="s">
        <v>44</v>
      </c>
      <c r="B2" s="26" t="s">
        <v>144</v>
      </c>
      <c r="C2" s="27" t="s">
        <v>159</v>
      </c>
      <c r="D2" s="26" t="s">
        <v>145</v>
      </c>
      <c r="E2" s="26" t="s">
        <v>146</v>
      </c>
      <c r="F2" s="27" t="s">
        <v>147</v>
      </c>
      <c r="G2" s="26" t="s">
        <v>148</v>
      </c>
      <c r="H2" s="26" t="s">
        <v>149</v>
      </c>
      <c r="I2" s="27" t="s">
        <v>158</v>
      </c>
      <c r="J2" s="26" t="s">
        <v>157</v>
      </c>
      <c r="K2" s="26" t="s">
        <v>150</v>
      </c>
      <c r="L2" s="27" t="s">
        <v>151</v>
      </c>
      <c r="M2" s="26" t="s">
        <v>152</v>
      </c>
      <c r="N2" s="26" t="s">
        <v>153</v>
      </c>
      <c r="O2" s="27" t="s">
        <v>156</v>
      </c>
      <c r="P2" s="26" t="s">
        <v>155</v>
      </c>
    </row>
    <row r="3" spans="1:16" ht="27" thickBot="1" x14ac:dyDescent="0.75">
      <c r="A3" s="33" t="s">
        <v>96</v>
      </c>
      <c r="B3" s="34">
        <v>1244</v>
      </c>
      <c r="C3" s="34">
        <v>162</v>
      </c>
      <c r="D3" s="35">
        <v>11.522048364153628</v>
      </c>
      <c r="E3" s="34">
        <v>1666</v>
      </c>
      <c r="F3" s="34">
        <v>224</v>
      </c>
      <c r="G3" s="35">
        <v>11.851851851851851</v>
      </c>
      <c r="H3" s="34">
        <v>1542</v>
      </c>
      <c r="I3" s="34">
        <v>237</v>
      </c>
      <c r="J3" s="35">
        <v>13.322091062394604</v>
      </c>
      <c r="K3" s="34">
        <v>1617</v>
      </c>
      <c r="L3" s="34">
        <v>227</v>
      </c>
      <c r="M3" s="36">
        <v>12.3101952277657</v>
      </c>
      <c r="N3" s="37">
        <v>1729</v>
      </c>
      <c r="O3" s="38">
        <v>310</v>
      </c>
      <c r="P3" s="39">
        <v>15.203531142717001</v>
      </c>
    </row>
    <row r="4" spans="1:16" ht="26.4" x14ac:dyDescent="0.3">
      <c r="A4" s="28" t="s">
        <v>46</v>
      </c>
      <c r="B4" s="14">
        <v>553</v>
      </c>
      <c r="C4" s="14">
        <v>56</v>
      </c>
      <c r="D4" s="29">
        <f t="shared" ref="D4:D9" si="0">(C4*100/(B4+C4))</f>
        <v>9.1954022988505741</v>
      </c>
      <c r="E4" s="14">
        <v>836</v>
      </c>
      <c r="F4" s="14">
        <v>99</v>
      </c>
      <c r="G4" s="29">
        <f>(F4*100/(E4+F4))</f>
        <v>10.588235294117647</v>
      </c>
      <c r="H4" s="14">
        <v>916</v>
      </c>
      <c r="I4" s="14">
        <v>103</v>
      </c>
      <c r="J4" s="29">
        <f>(I4*100/(H4+I4))</f>
        <v>10.107948969578018</v>
      </c>
      <c r="K4" s="14">
        <v>650</v>
      </c>
      <c r="L4" s="14">
        <v>108</v>
      </c>
      <c r="M4" s="29">
        <v>16.61</v>
      </c>
      <c r="N4" s="30">
        <v>1030</v>
      </c>
      <c r="O4" s="30">
        <v>164</v>
      </c>
      <c r="P4" s="30">
        <v>14</v>
      </c>
    </row>
    <row r="5" spans="1:16" ht="26.4" x14ac:dyDescent="0.3">
      <c r="A5" s="28" t="s">
        <v>143</v>
      </c>
      <c r="B5" s="14">
        <v>81</v>
      </c>
      <c r="C5" s="14">
        <v>3</v>
      </c>
      <c r="D5" s="29">
        <f t="shared" si="0"/>
        <v>3.5714285714285716</v>
      </c>
      <c r="E5" s="14">
        <v>104</v>
      </c>
      <c r="F5" s="14">
        <v>4</v>
      </c>
      <c r="G5" s="29">
        <f>(F5*100/(E5+F5))</f>
        <v>3.7037037037037037</v>
      </c>
      <c r="H5" s="14">
        <v>111</v>
      </c>
      <c r="I5" s="14">
        <v>4</v>
      </c>
      <c r="J5" s="29">
        <f>(I5*100/(H5+I5))</f>
        <v>3.4782608695652173</v>
      </c>
      <c r="K5" s="14">
        <v>89</v>
      </c>
      <c r="L5" s="14">
        <v>2</v>
      </c>
      <c r="M5" s="29">
        <v>2.2400000000000002</v>
      </c>
      <c r="N5" s="30">
        <v>121</v>
      </c>
      <c r="O5" s="30">
        <v>9</v>
      </c>
      <c r="P5" s="30">
        <v>7</v>
      </c>
    </row>
    <row r="6" spans="1:16" ht="26.4" x14ac:dyDescent="0.3">
      <c r="A6" s="28" t="s">
        <v>136</v>
      </c>
      <c r="B6" s="14">
        <v>278</v>
      </c>
      <c r="C6" s="14">
        <v>64</v>
      </c>
      <c r="D6" s="29">
        <f t="shared" si="0"/>
        <v>18.71345029239766</v>
      </c>
      <c r="E6" s="14">
        <v>285</v>
      </c>
      <c r="F6" s="14">
        <v>74</v>
      </c>
      <c r="G6" s="29">
        <f>(F6*100/(E6+F6))</f>
        <v>20.612813370473539</v>
      </c>
      <c r="H6" s="14">
        <v>281</v>
      </c>
      <c r="I6" s="14">
        <v>102</v>
      </c>
      <c r="J6" s="29">
        <f>(I6*100/(H6+I6))</f>
        <v>26.631853785900784</v>
      </c>
      <c r="K6" s="14">
        <v>392</v>
      </c>
      <c r="L6" s="14">
        <v>84</v>
      </c>
      <c r="M6" s="29">
        <v>21.42</v>
      </c>
      <c r="N6" s="30">
        <v>241</v>
      </c>
      <c r="O6" s="30">
        <v>94</v>
      </c>
      <c r="P6" s="30">
        <v>28</v>
      </c>
    </row>
    <row r="7" spans="1:16" ht="26.4" x14ac:dyDescent="0.3">
      <c r="A7" s="28" t="s">
        <v>47</v>
      </c>
      <c r="B7" s="14">
        <v>254</v>
      </c>
      <c r="C7" s="14">
        <v>34</v>
      </c>
      <c r="D7" s="29">
        <f t="shared" si="0"/>
        <v>11.805555555555555</v>
      </c>
      <c r="E7" s="14">
        <v>405</v>
      </c>
      <c r="F7" s="14">
        <v>39</v>
      </c>
      <c r="G7" s="29">
        <f>(F7*100/(E7+F7))</f>
        <v>8.7837837837837842</v>
      </c>
      <c r="H7" s="14">
        <v>203</v>
      </c>
      <c r="I7" s="14">
        <v>18</v>
      </c>
      <c r="J7" s="29">
        <f>(I7*100/(H7+I7))</f>
        <v>8.1447963800904972</v>
      </c>
      <c r="K7" s="14">
        <v>457</v>
      </c>
      <c r="L7" s="14">
        <v>26</v>
      </c>
      <c r="M7" s="29">
        <v>5.68</v>
      </c>
      <c r="N7" s="30">
        <v>303</v>
      </c>
      <c r="O7" s="30">
        <v>29</v>
      </c>
      <c r="P7" s="30">
        <v>9</v>
      </c>
    </row>
    <row r="8" spans="1:16" ht="26.4" x14ac:dyDescent="0.3">
      <c r="A8" s="28" t="s">
        <v>65</v>
      </c>
      <c r="B8" s="18">
        <v>16</v>
      </c>
      <c r="C8" s="18">
        <v>4</v>
      </c>
      <c r="D8" s="31">
        <f t="shared" si="0"/>
        <v>20</v>
      </c>
      <c r="E8" s="18">
        <v>36</v>
      </c>
      <c r="F8" s="18">
        <v>8</v>
      </c>
      <c r="G8" s="31">
        <f>(F8*100/(E8+F8))</f>
        <v>18.181818181818183</v>
      </c>
      <c r="H8" s="18">
        <v>31</v>
      </c>
      <c r="I8" s="18">
        <v>10</v>
      </c>
      <c r="J8" s="31">
        <f>(I8*100/(H8+I8))</f>
        <v>24.390243902439025</v>
      </c>
      <c r="K8" s="18">
        <v>29</v>
      </c>
      <c r="L8" s="18">
        <v>7</v>
      </c>
      <c r="M8" s="31">
        <v>24.13</v>
      </c>
      <c r="N8" s="32">
        <v>34</v>
      </c>
      <c r="O8" s="32">
        <v>14</v>
      </c>
      <c r="P8" s="32">
        <v>29</v>
      </c>
    </row>
    <row r="9" spans="1:16" ht="26.4" x14ac:dyDescent="0.3">
      <c r="A9" s="28" t="s">
        <v>54</v>
      </c>
      <c r="B9" s="14">
        <v>62</v>
      </c>
      <c r="C9" s="14">
        <v>1</v>
      </c>
      <c r="D9" s="29">
        <f t="shared" si="0"/>
        <v>1.5873015873015872</v>
      </c>
      <c r="E9" s="14">
        <v>0</v>
      </c>
      <c r="F9" s="14">
        <v>0</v>
      </c>
      <c r="G9" s="29" t="s">
        <v>154</v>
      </c>
      <c r="H9" s="14">
        <v>0</v>
      </c>
      <c r="I9" s="14">
        <v>0</v>
      </c>
      <c r="J9" s="29" t="s">
        <v>154</v>
      </c>
      <c r="K9" s="14"/>
      <c r="L9" s="14"/>
      <c r="M9" s="29"/>
      <c r="N9" s="30"/>
      <c r="O9" s="30"/>
      <c r="P9" s="30"/>
    </row>
    <row r="11" spans="1:16" x14ac:dyDescent="0.3">
      <c r="A11" s="3" t="s">
        <v>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89.77734375" bestFit="1" customWidth="1"/>
    <col min="2" max="2" width="11.44140625" bestFit="1" customWidth="1"/>
  </cols>
  <sheetData>
    <row r="1" spans="1:19" ht="17.399999999999999" x14ac:dyDescent="0.35">
      <c r="A1" s="1" t="s">
        <v>179</v>
      </c>
    </row>
    <row r="2" spans="1:19" ht="79.2" x14ac:dyDescent="0.3">
      <c r="A2" s="40" t="s">
        <v>44</v>
      </c>
      <c r="B2" s="41" t="s">
        <v>55</v>
      </c>
      <c r="C2" s="42" t="s">
        <v>56</v>
      </c>
      <c r="D2" s="41" t="s">
        <v>29</v>
      </c>
      <c r="E2" s="43" t="s">
        <v>57</v>
      </c>
      <c r="F2" s="44" t="s">
        <v>160</v>
      </c>
      <c r="G2" s="43" t="s">
        <v>32</v>
      </c>
      <c r="H2" s="43" t="s">
        <v>58</v>
      </c>
      <c r="I2" s="44" t="s">
        <v>162</v>
      </c>
      <c r="J2" s="43" t="s">
        <v>35</v>
      </c>
      <c r="K2" s="43" t="s">
        <v>59</v>
      </c>
      <c r="L2" s="44" t="s">
        <v>161</v>
      </c>
      <c r="M2" s="43" t="s">
        <v>38</v>
      </c>
      <c r="N2" s="43" t="s">
        <v>60</v>
      </c>
      <c r="O2" s="44" t="s">
        <v>163</v>
      </c>
      <c r="P2" s="43" t="s">
        <v>40</v>
      </c>
      <c r="Q2" s="43" t="s">
        <v>61</v>
      </c>
      <c r="R2" s="44" t="s">
        <v>164</v>
      </c>
      <c r="S2" s="43" t="s">
        <v>43</v>
      </c>
    </row>
    <row r="3" spans="1:19" ht="27" thickBot="1" x14ac:dyDescent="0.35">
      <c r="A3" s="52" t="s">
        <v>96</v>
      </c>
      <c r="B3" s="53">
        <f>SUM(B4:B8)</f>
        <v>1183</v>
      </c>
      <c r="C3" s="53">
        <f>SUM(C4:C8)</f>
        <v>669</v>
      </c>
      <c r="D3" s="47">
        <f>+B3+C3</f>
        <v>1852</v>
      </c>
      <c r="E3" s="48">
        <f>SUM(E4:E8)</f>
        <v>1005</v>
      </c>
      <c r="F3" s="48">
        <f>SUM(F4:F8)</f>
        <v>610</v>
      </c>
      <c r="G3" s="48">
        <f>+E3+F3</f>
        <v>1615</v>
      </c>
      <c r="H3" s="54">
        <f>SUM(H4:H8)</f>
        <v>1024</v>
      </c>
      <c r="I3" s="54">
        <f>SUM(I4:I8)</f>
        <v>784</v>
      </c>
      <c r="J3" s="48">
        <f>H3+I3</f>
        <v>1808</v>
      </c>
      <c r="K3" s="54">
        <f>SUM(K4:K8)</f>
        <v>1041</v>
      </c>
      <c r="L3" s="54">
        <f>SUM(L4:L8)</f>
        <v>951</v>
      </c>
      <c r="M3" s="48">
        <f>+K3+L3</f>
        <v>1992</v>
      </c>
      <c r="N3" s="54">
        <f>+SUM(N4:N8)</f>
        <v>1159</v>
      </c>
      <c r="O3" s="54">
        <f>+SUM(O4:O8)</f>
        <v>805</v>
      </c>
      <c r="P3" s="48">
        <f>N3+O3</f>
        <v>1964</v>
      </c>
      <c r="Q3" s="55">
        <v>1344</v>
      </c>
      <c r="R3" s="55">
        <v>1055</v>
      </c>
      <c r="S3" s="55">
        <v>2039</v>
      </c>
    </row>
    <row r="4" spans="1:19" ht="26.4" x14ac:dyDescent="0.3">
      <c r="A4" s="45" t="s">
        <v>46</v>
      </c>
      <c r="B4" s="46">
        <v>403</v>
      </c>
      <c r="C4" s="46">
        <v>436</v>
      </c>
      <c r="D4" s="47">
        <f>+B4+C4</f>
        <v>839</v>
      </c>
      <c r="E4" s="48">
        <v>294</v>
      </c>
      <c r="F4" s="48">
        <v>362</v>
      </c>
      <c r="G4" s="48">
        <f t="shared" ref="G4:G8" si="0">+E4+F4</f>
        <v>656</v>
      </c>
      <c r="H4" s="48">
        <v>385</v>
      </c>
      <c r="I4" s="48">
        <v>476</v>
      </c>
      <c r="J4" s="48">
        <f t="shared" ref="J4:J8" si="1">H4+I4</f>
        <v>861</v>
      </c>
      <c r="K4" s="48">
        <v>474</v>
      </c>
      <c r="L4" s="48">
        <v>586</v>
      </c>
      <c r="M4" s="48">
        <f t="shared" ref="M4:M8" si="2">+K4+L4</f>
        <v>1060</v>
      </c>
      <c r="N4" s="48">
        <v>454</v>
      </c>
      <c r="O4" s="48">
        <v>547</v>
      </c>
      <c r="P4" s="48">
        <f t="shared" ref="P4:P8" si="3">N4+O4</f>
        <v>1001</v>
      </c>
      <c r="Q4" s="49">
        <v>736</v>
      </c>
      <c r="R4" s="49">
        <v>818</v>
      </c>
      <c r="S4" s="49">
        <v>1194</v>
      </c>
    </row>
    <row r="5" spans="1:19" ht="26.4" x14ac:dyDescent="0.3">
      <c r="A5" s="45" t="s">
        <v>143</v>
      </c>
      <c r="B5" s="46">
        <v>78</v>
      </c>
      <c r="C5" s="46">
        <v>39</v>
      </c>
      <c r="D5" s="47">
        <f t="shared" ref="D5:D8" si="4">+B5+C5</f>
        <v>117</v>
      </c>
      <c r="E5" s="48">
        <v>62</v>
      </c>
      <c r="F5" s="48">
        <v>28</v>
      </c>
      <c r="G5" s="48">
        <f t="shared" si="0"/>
        <v>90</v>
      </c>
      <c r="H5" s="48">
        <v>59</v>
      </c>
      <c r="I5" s="48">
        <v>37</v>
      </c>
      <c r="J5" s="48">
        <f t="shared" si="1"/>
        <v>96</v>
      </c>
      <c r="K5" s="48">
        <v>57</v>
      </c>
      <c r="L5" s="48">
        <v>68</v>
      </c>
      <c r="M5" s="48">
        <f t="shared" si="2"/>
        <v>125</v>
      </c>
      <c r="N5" s="48">
        <v>43</v>
      </c>
      <c r="O5" s="48">
        <v>61</v>
      </c>
      <c r="P5" s="48">
        <f t="shared" si="3"/>
        <v>104</v>
      </c>
      <c r="Q5" s="49">
        <v>70</v>
      </c>
      <c r="R5" s="49">
        <v>60</v>
      </c>
      <c r="S5" s="49">
        <v>130</v>
      </c>
    </row>
    <row r="6" spans="1:19" ht="26.4" x14ac:dyDescent="0.3">
      <c r="A6" s="45" t="s">
        <v>136</v>
      </c>
      <c r="B6" s="46">
        <v>275</v>
      </c>
      <c r="C6" s="46">
        <v>160</v>
      </c>
      <c r="D6" s="47">
        <f t="shared" si="4"/>
        <v>435</v>
      </c>
      <c r="E6" s="48">
        <v>212</v>
      </c>
      <c r="F6" s="48">
        <v>180</v>
      </c>
      <c r="G6" s="48">
        <f t="shared" si="0"/>
        <v>392</v>
      </c>
      <c r="H6" s="48">
        <v>191</v>
      </c>
      <c r="I6" s="48">
        <v>220</v>
      </c>
      <c r="J6" s="48">
        <f t="shared" si="1"/>
        <v>411</v>
      </c>
      <c r="K6" s="48">
        <v>166</v>
      </c>
      <c r="L6" s="48">
        <v>241</v>
      </c>
      <c r="M6" s="48">
        <f t="shared" si="2"/>
        <v>407</v>
      </c>
      <c r="N6" s="48">
        <v>151</v>
      </c>
      <c r="O6" s="48">
        <v>153</v>
      </c>
      <c r="P6" s="48">
        <f t="shared" si="3"/>
        <v>304</v>
      </c>
      <c r="Q6" s="49">
        <v>222</v>
      </c>
      <c r="R6" s="49">
        <v>113</v>
      </c>
      <c r="S6" s="49">
        <v>335</v>
      </c>
    </row>
    <row r="7" spans="1:19" ht="26.4" x14ac:dyDescent="0.3">
      <c r="A7" s="45" t="s">
        <v>47</v>
      </c>
      <c r="B7" s="46">
        <v>418</v>
      </c>
      <c r="C7" s="46">
        <v>17</v>
      </c>
      <c r="D7" s="47">
        <f t="shared" si="4"/>
        <v>435</v>
      </c>
      <c r="E7" s="48">
        <v>430</v>
      </c>
      <c r="F7" s="48">
        <v>27</v>
      </c>
      <c r="G7" s="48">
        <f t="shared" si="0"/>
        <v>457</v>
      </c>
      <c r="H7" s="48">
        <v>380</v>
      </c>
      <c r="I7" s="48">
        <v>31</v>
      </c>
      <c r="J7" s="48">
        <f t="shared" si="1"/>
        <v>411</v>
      </c>
      <c r="K7" s="48">
        <v>326</v>
      </c>
      <c r="L7" s="48">
        <v>28</v>
      </c>
      <c r="M7" s="48">
        <f t="shared" si="2"/>
        <v>354</v>
      </c>
      <c r="N7" s="48">
        <v>494</v>
      </c>
      <c r="O7" s="48">
        <v>24</v>
      </c>
      <c r="P7" s="48">
        <f t="shared" si="3"/>
        <v>518</v>
      </c>
      <c r="Q7" s="49">
        <v>295</v>
      </c>
      <c r="R7" s="49">
        <v>37</v>
      </c>
      <c r="S7" s="49">
        <v>332</v>
      </c>
    </row>
    <row r="8" spans="1:19" ht="26.4" x14ac:dyDescent="0.3">
      <c r="A8" s="45" t="s">
        <v>65</v>
      </c>
      <c r="B8" s="50">
        <v>9</v>
      </c>
      <c r="C8" s="50">
        <v>17</v>
      </c>
      <c r="D8" s="47">
        <f t="shared" si="4"/>
        <v>26</v>
      </c>
      <c r="E8" s="51">
        <v>7</v>
      </c>
      <c r="F8" s="51">
        <v>13</v>
      </c>
      <c r="G8" s="48">
        <f t="shared" si="0"/>
        <v>20</v>
      </c>
      <c r="H8" s="51">
        <v>9</v>
      </c>
      <c r="I8" s="51">
        <v>20</v>
      </c>
      <c r="J8" s="48">
        <f t="shared" si="1"/>
        <v>29</v>
      </c>
      <c r="K8" s="51">
        <v>18</v>
      </c>
      <c r="L8" s="51">
        <v>28</v>
      </c>
      <c r="M8" s="48">
        <f t="shared" si="2"/>
        <v>46</v>
      </c>
      <c r="N8" s="51">
        <v>17</v>
      </c>
      <c r="O8" s="51">
        <v>20</v>
      </c>
      <c r="P8" s="48">
        <f t="shared" si="3"/>
        <v>37</v>
      </c>
      <c r="Q8" s="49">
        <v>21</v>
      </c>
      <c r="R8" s="49">
        <v>27</v>
      </c>
      <c r="S8" s="49">
        <v>48</v>
      </c>
    </row>
    <row r="9" spans="1:19" x14ac:dyDescent="0.3">
      <c r="A9" t="s">
        <v>118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77" bestFit="1" customWidth="1"/>
  </cols>
  <sheetData>
    <row r="1" spans="1:6" ht="17.399999999999999" x14ac:dyDescent="0.35">
      <c r="A1" s="1" t="s">
        <v>91</v>
      </c>
    </row>
    <row r="2" spans="1:6" x14ac:dyDescent="0.3">
      <c r="A2" s="2" t="s">
        <v>0</v>
      </c>
      <c r="B2" s="2" t="s">
        <v>14</v>
      </c>
      <c r="C2" s="2" t="s">
        <v>15</v>
      </c>
      <c r="D2" s="2" t="s">
        <v>4</v>
      </c>
      <c r="E2" s="2" t="s">
        <v>5</v>
      </c>
      <c r="F2" s="2" t="s">
        <v>6</v>
      </c>
    </row>
    <row r="3" spans="1:6" x14ac:dyDescent="0.3">
      <c r="A3" t="s">
        <v>62</v>
      </c>
      <c r="B3">
        <v>700</v>
      </c>
      <c r="C3">
        <v>794</v>
      </c>
      <c r="D3">
        <v>1413</v>
      </c>
      <c r="E3">
        <v>1018</v>
      </c>
      <c r="F3">
        <v>1247</v>
      </c>
    </row>
    <row r="4" spans="1:6" x14ac:dyDescent="0.3">
      <c r="A4" t="s">
        <v>165</v>
      </c>
      <c r="B4">
        <v>1700</v>
      </c>
      <c r="C4">
        <v>1873</v>
      </c>
      <c r="D4">
        <v>2826</v>
      </c>
      <c r="E4">
        <v>2566</v>
      </c>
      <c r="F4">
        <v>2714</v>
      </c>
    </row>
    <row r="5" spans="1:6" x14ac:dyDescent="0.3">
      <c r="A5" t="s">
        <v>63</v>
      </c>
      <c r="B5">
        <v>41.2</v>
      </c>
      <c r="C5">
        <v>42.4</v>
      </c>
      <c r="D5">
        <v>50</v>
      </c>
      <c r="E5">
        <v>39.672642244738903</v>
      </c>
      <c r="F5">
        <v>45.946941783345601</v>
      </c>
    </row>
    <row r="6" spans="1:6" x14ac:dyDescent="0.3">
      <c r="A6" t="s">
        <v>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74.5546875" bestFit="1" customWidth="1"/>
  </cols>
  <sheetData>
    <row r="1" spans="1:6" ht="17.399999999999999" x14ac:dyDescent="0.35">
      <c r="A1" s="1" t="s">
        <v>92</v>
      </c>
    </row>
    <row r="2" spans="1:6" x14ac:dyDescent="0.3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t="s">
        <v>44</v>
      </c>
    </row>
    <row r="4" spans="1:6" x14ac:dyDescent="0.3">
      <c r="A4" t="s">
        <v>64</v>
      </c>
      <c r="B4">
        <v>186.28</v>
      </c>
      <c r="C4">
        <v>244</v>
      </c>
      <c r="D4">
        <v>310.57</v>
      </c>
      <c r="E4">
        <v>290.57</v>
      </c>
      <c r="F4">
        <v>341</v>
      </c>
    </row>
    <row r="5" spans="1:6" x14ac:dyDescent="0.3">
      <c r="A5" t="s">
        <v>166</v>
      </c>
      <c r="B5">
        <v>60</v>
      </c>
      <c r="C5">
        <v>64.66</v>
      </c>
      <c r="D5">
        <v>84.66</v>
      </c>
      <c r="E5">
        <v>70</v>
      </c>
      <c r="F5">
        <v>86.7</v>
      </c>
    </row>
    <row r="6" spans="1:6" x14ac:dyDescent="0.3">
      <c r="A6" t="s">
        <v>65</v>
      </c>
      <c r="B6">
        <v>40</v>
      </c>
      <c r="C6">
        <v>58</v>
      </c>
      <c r="D6">
        <v>92</v>
      </c>
      <c r="E6">
        <v>74</v>
      </c>
      <c r="F6">
        <v>96</v>
      </c>
    </row>
    <row r="7" spans="1:6" x14ac:dyDescent="0.3">
      <c r="A7" t="s">
        <v>47</v>
      </c>
      <c r="B7">
        <v>70.150000000000006</v>
      </c>
      <c r="C7">
        <v>63.23</v>
      </c>
      <c r="D7">
        <v>54.61</v>
      </c>
      <c r="E7">
        <v>41.23</v>
      </c>
      <c r="F7">
        <v>51.1</v>
      </c>
    </row>
    <row r="8" spans="1:6" x14ac:dyDescent="0.3">
      <c r="A8" t="s">
        <v>136</v>
      </c>
      <c r="B8">
        <v>87.33</v>
      </c>
      <c r="C8">
        <v>91.33</v>
      </c>
      <c r="D8">
        <v>88.88</v>
      </c>
      <c r="E8">
        <v>70.66</v>
      </c>
      <c r="F8">
        <v>76.400000000000006</v>
      </c>
    </row>
    <row r="9" spans="1:6" x14ac:dyDescent="0.3">
      <c r="A9" t="s">
        <v>118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96.109375" bestFit="1" customWidth="1"/>
  </cols>
  <sheetData>
    <row r="1" spans="1:6" ht="17.399999999999999" x14ac:dyDescent="0.35">
      <c r="A1" s="1" t="s">
        <v>93</v>
      </c>
    </row>
    <row r="2" spans="1:6" x14ac:dyDescent="0.3">
      <c r="A2" s="2" t="s">
        <v>66</v>
      </c>
      <c r="B2" s="2" t="s">
        <v>14</v>
      </c>
      <c r="C2" s="2" t="s">
        <v>15</v>
      </c>
      <c r="D2" s="2" t="s">
        <v>4</v>
      </c>
      <c r="E2" s="2" t="s">
        <v>5</v>
      </c>
      <c r="F2" s="2" t="s">
        <v>6</v>
      </c>
    </row>
    <row r="3" spans="1:6" x14ac:dyDescent="0.3">
      <c r="A3" t="s">
        <v>165</v>
      </c>
      <c r="B3">
        <v>1700</v>
      </c>
      <c r="C3">
        <v>1873</v>
      </c>
      <c r="D3">
        <v>2236</v>
      </c>
      <c r="E3">
        <v>2271</v>
      </c>
      <c r="F3">
        <v>2390</v>
      </c>
    </row>
    <row r="4" spans="1:6" x14ac:dyDescent="0.3">
      <c r="A4" t="s">
        <v>180</v>
      </c>
      <c r="B4">
        <v>62</v>
      </c>
      <c r="C4">
        <v>35</v>
      </c>
      <c r="D4">
        <v>53</v>
      </c>
      <c r="E4">
        <v>35</v>
      </c>
      <c r="F4">
        <v>72</v>
      </c>
    </row>
    <row r="5" spans="1:6" x14ac:dyDescent="0.3">
      <c r="A5" t="s">
        <v>67</v>
      </c>
      <c r="B5">
        <v>3.6470588235294099</v>
      </c>
      <c r="C5">
        <v>1.86865990389749</v>
      </c>
      <c r="D5">
        <v>2.37030411449016</v>
      </c>
      <c r="E5">
        <v>1.5411712901805401</v>
      </c>
      <c r="F5">
        <v>3.01255230125523</v>
      </c>
    </row>
    <row r="6" spans="1:6" x14ac:dyDescent="0.3">
      <c r="A6" t="s">
        <v>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"/>
  <sheetViews>
    <sheetView workbookViewId="0">
      <selection activeCell="A9" sqref="A9"/>
    </sheetView>
  </sheetViews>
  <sheetFormatPr baseColWidth="10" defaultColWidth="8.88671875" defaultRowHeight="14.4" x14ac:dyDescent="0.3"/>
  <cols>
    <col min="1" max="1" width="84" bestFit="1" customWidth="1"/>
    <col min="2" max="2" width="14.77734375" customWidth="1"/>
  </cols>
  <sheetData>
    <row r="1" spans="1:4" ht="17.399999999999999" x14ac:dyDescent="0.35">
      <c r="A1" s="1" t="s">
        <v>94</v>
      </c>
    </row>
    <row r="2" spans="1:4" x14ac:dyDescent="0.3">
      <c r="A2" s="2" t="s">
        <v>0</v>
      </c>
      <c r="B2" s="2" t="s">
        <v>68</v>
      </c>
      <c r="C2" s="2" t="s">
        <v>1</v>
      </c>
      <c r="D2" s="2" t="s">
        <v>6</v>
      </c>
    </row>
    <row r="3" spans="1:4" x14ac:dyDescent="0.3">
      <c r="A3" t="s">
        <v>69</v>
      </c>
      <c r="B3">
        <v>1328168</v>
      </c>
      <c r="C3">
        <v>1544132</v>
      </c>
      <c r="D3">
        <v>1939342</v>
      </c>
    </row>
    <row r="4" spans="1:4" x14ac:dyDescent="0.3">
      <c r="A4" t="s">
        <v>168</v>
      </c>
      <c r="B4">
        <v>2957</v>
      </c>
      <c r="C4">
        <v>3861</v>
      </c>
      <c r="D4">
        <v>4505</v>
      </c>
    </row>
    <row r="5" spans="1:4" x14ac:dyDescent="0.3">
      <c r="A5" t="s">
        <v>70</v>
      </c>
      <c r="B5">
        <v>749865</v>
      </c>
      <c r="C5">
        <v>967594</v>
      </c>
      <c r="D5">
        <v>1074208</v>
      </c>
    </row>
    <row r="6" spans="1:4" x14ac:dyDescent="0.3">
      <c r="A6" t="s">
        <v>71</v>
      </c>
      <c r="B6">
        <v>33200</v>
      </c>
      <c r="C6">
        <v>28800</v>
      </c>
      <c r="D6">
        <v>53787</v>
      </c>
    </row>
    <row r="7" spans="1:4" x14ac:dyDescent="0.3">
      <c r="A7" t="s">
        <v>72</v>
      </c>
      <c r="B7">
        <v>10877</v>
      </c>
      <c r="C7">
        <v>9484</v>
      </c>
      <c r="D7">
        <v>31608</v>
      </c>
    </row>
    <row r="8" spans="1:4" x14ac:dyDescent="0.3">
      <c r="A8" t="s">
        <v>73</v>
      </c>
      <c r="B8">
        <v>705788</v>
      </c>
      <c r="C8">
        <v>929310</v>
      </c>
      <c r="D8">
        <v>988822</v>
      </c>
    </row>
    <row r="9" spans="1:4" x14ac:dyDescent="0.3">
      <c r="A9" t="s">
        <v>174</v>
      </c>
      <c r="B9">
        <v>56.5</v>
      </c>
      <c r="C9">
        <v>62.7</v>
      </c>
      <c r="D9">
        <v>55.39</v>
      </c>
    </row>
    <row r="10" spans="1:4" x14ac:dyDescent="0.3">
      <c r="A10" t="s">
        <v>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"/>
  <sheetViews>
    <sheetView workbookViewId="0">
      <selection activeCell="A13" sqref="A13"/>
    </sheetView>
  </sheetViews>
  <sheetFormatPr baseColWidth="10" defaultColWidth="8.88671875" defaultRowHeight="14.4" x14ac:dyDescent="0.3"/>
  <cols>
    <col min="1" max="1" width="88.88671875" bestFit="1" customWidth="1"/>
    <col min="2" max="4" width="20.6640625" bestFit="1" customWidth="1"/>
  </cols>
  <sheetData>
    <row r="1" spans="1:4" ht="17.399999999999999" x14ac:dyDescent="0.35">
      <c r="A1" s="1" t="s">
        <v>169</v>
      </c>
    </row>
    <row r="2" spans="1:4" x14ac:dyDescent="0.3">
      <c r="A2" s="2"/>
      <c r="B2" s="2" t="s">
        <v>170</v>
      </c>
      <c r="C2" s="2" t="s">
        <v>171</v>
      </c>
      <c r="D2" s="2" t="s">
        <v>172</v>
      </c>
    </row>
    <row r="3" spans="1:4" x14ac:dyDescent="0.3">
      <c r="A3" t="s">
        <v>173</v>
      </c>
      <c r="B3">
        <v>147</v>
      </c>
      <c r="C3">
        <v>153</v>
      </c>
      <c r="D3">
        <v>157</v>
      </c>
    </row>
    <row r="4" spans="1:4" x14ac:dyDescent="0.3">
      <c r="A4" t="s">
        <v>75</v>
      </c>
      <c r="B4">
        <v>37</v>
      </c>
      <c r="C4">
        <v>31</v>
      </c>
      <c r="D4">
        <v>42</v>
      </c>
    </row>
    <row r="5" spans="1:4" x14ac:dyDescent="0.3">
      <c r="A5" t="s">
        <v>76</v>
      </c>
      <c r="B5">
        <v>25.170068027210899</v>
      </c>
      <c r="C5">
        <v>20.261437908496699</v>
      </c>
      <c r="D5">
        <v>26.751592356687901</v>
      </c>
    </row>
    <row r="6" spans="1:4" x14ac:dyDescent="0.3">
      <c r="A6" t="s">
        <v>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9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94.33203125" bestFit="1" customWidth="1"/>
  </cols>
  <sheetData>
    <row r="1" spans="1:4" ht="17.399999999999999" x14ac:dyDescent="0.35">
      <c r="A1" s="1" t="s">
        <v>175</v>
      </c>
    </row>
    <row r="2" spans="1:4" x14ac:dyDescent="0.3">
      <c r="A2" s="2" t="s">
        <v>77</v>
      </c>
      <c r="B2" s="2" t="s">
        <v>78</v>
      </c>
      <c r="C2" s="2" t="s">
        <v>79</v>
      </c>
      <c r="D2" s="2" t="s">
        <v>5</v>
      </c>
    </row>
    <row r="3" spans="1:4" x14ac:dyDescent="0.3">
      <c r="A3" t="s">
        <v>69</v>
      </c>
      <c r="B3">
        <v>1189105</v>
      </c>
      <c r="C3">
        <v>1417823</v>
      </c>
      <c r="D3">
        <v>1786448</v>
      </c>
    </row>
    <row r="4" spans="1:4" x14ac:dyDescent="0.3">
      <c r="A4" t="s">
        <v>70</v>
      </c>
      <c r="B4">
        <v>898100</v>
      </c>
      <c r="C4">
        <v>1041199</v>
      </c>
      <c r="D4">
        <v>1272837</v>
      </c>
    </row>
    <row r="5" spans="1:4" x14ac:dyDescent="0.3">
      <c r="A5" t="s">
        <v>80</v>
      </c>
      <c r="B5">
        <v>147</v>
      </c>
      <c r="C5">
        <v>157</v>
      </c>
      <c r="D5">
        <v>176</v>
      </c>
    </row>
    <row r="6" spans="1:4" x14ac:dyDescent="0.3">
      <c r="A6" t="s">
        <v>81</v>
      </c>
      <c r="B6">
        <v>64</v>
      </c>
      <c r="C6">
        <v>98</v>
      </c>
      <c r="D6">
        <v>25</v>
      </c>
    </row>
    <row r="7" spans="1:4" x14ac:dyDescent="0.3">
      <c r="A7" t="s">
        <v>82</v>
      </c>
      <c r="B7">
        <v>438</v>
      </c>
      <c r="C7">
        <v>540</v>
      </c>
      <c r="D7">
        <v>559</v>
      </c>
    </row>
    <row r="8" spans="1:4" x14ac:dyDescent="0.3">
      <c r="A8" t="s">
        <v>174</v>
      </c>
      <c r="B8">
        <v>75.53</v>
      </c>
      <c r="C8">
        <v>73.436458570639601</v>
      </c>
      <c r="D8">
        <v>71.249596965598769</v>
      </c>
    </row>
    <row r="9" spans="1:4" x14ac:dyDescent="0.3">
      <c r="A9" t="s">
        <v>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9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95.77734375" bestFit="1" customWidth="1"/>
  </cols>
  <sheetData>
    <row r="1" spans="1:4" ht="17.399999999999999" x14ac:dyDescent="0.35">
      <c r="A1" s="1" t="s">
        <v>176</v>
      </c>
    </row>
    <row r="2" spans="1:4" x14ac:dyDescent="0.3">
      <c r="A2" s="2" t="s">
        <v>77</v>
      </c>
      <c r="B2" s="2" t="s">
        <v>78</v>
      </c>
      <c r="C2" s="2" t="s">
        <v>79</v>
      </c>
      <c r="D2" s="2" t="s">
        <v>5</v>
      </c>
    </row>
    <row r="3" spans="1:4" x14ac:dyDescent="0.3">
      <c r="A3" t="s">
        <v>69</v>
      </c>
      <c r="B3">
        <v>1189105</v>
      </c>
      <c r="C3">
        <v>1417823</v>
      </c>
      <c r="D3">
        <v>1786448</v>
      </c>
    </row>
    <row r="4" spans="1:4" x14ac:dyDescent="0.3">
      <c r="A4" t="s">
        <v>70</v>
      </c>
      <c r="B4">
        <v>898100</v>
      </c>
      <c r="C4">
        <v>1041199</v>
      </c>
      <c r="D4">
        <v>1272837</v>
      </c>
    </row>
    <row r="5" spans="1:4" x14ac:dyDescent="0.3">
      <c r="A5" t="s">
        <v>80</v>
      </c>
      <c r="B5">
        <v>147</v>
      </c>
      <c r="C5">
        <v>157</v>
      </c>
      <c r="D5">
        <v>176</v>
      </c>
    </row>
    <row r="6" spans="1:4" x14ac:dyDescent="0.3">
      <c r="A6" t="s">
        <v>81</v>
      </c>
      <c r="B6">
        <v>64</v>
      </c>
      <c r="C6">
        <v>98</v>
      </c>
      <c r="D6">
        <v>25</v>
      </c>
    </row>
    <row r="7" spans="1:4" x14ac:dyDescent="0.3">
      <c r="A7" t="s">
        <v>82</v>
      </c>
      <c r="B7">
        <v>438</v>
      </c>
      <c r="C7">
        <v>540</v>
      </c>
      <c r="D7">
        <v>559</v>
      </c>
    </row>
    <row r="8" spans="1:4" x14ac:dyDescent="0.3">
      <c r="A8" t="s">
        <v>174</v>
      </c>
      <c r="B8">
        <v>75.53</v>
      </c>
      <c r="C8">
        <v>73.436458570639601</v>
      </c>
      <c r="D8">
        <v>71.249596965598812</v>
      </c>
    </row>
    <row r="9" spans="1:4" x14ac:dyDescent="0.3">
      <c r="A9" t="s">
        <v>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69.6640625" bestFit="1" customWidth="1"/>
    <col min="2" max="2" width="8" bestFit="1" customWidth="1"/>
  </cols>
  <sheetData>
    <row r="1" spans="1:3" ht="17.399999999999999" x14ac:dyDescent="0.35">
      <c r="A1" s="1" t="s">
        <v>177</v>
      </c>
    </row>
    <row r="2" spans="1:3" x14ac:dyDescent="0.3">
      <c r="A2" s="2" t="s">
        <v>77</v>
      </c>
      <c r="B2" s="2" t="s">
        <v>79</v>
      </c>
      <c r="C2" s="2" t="s">
        <v>5</v>
      </c>
    </row>
    <row r="3" spans="1:3" x14ac:dyDescent="0.3">
      <c r="A3" t="s">
        <v>69</v>
      </c>
      <c r="B3">
        <v>1417823</v>
      </c>
      <c r="C3">
        <v>1786448</v>
      </c>
    </row>
    <row r="4" spans="1:3" x14ac:dyDescent="0.3">
      <c r="A4" t="s">
        <v>70</v>
      </c>
      <c r="B4">
        <v>1041199</v>
      </c>
      <c r="C4">
        <v>1272837</v>
      </c>
    </row>
    <row r="5" spans="1:3" x14ac:dyDescent="0.3">
      <c r="A5" t="s">
        <v>73</v>
      </c>
      <c r="B5">
        <v>800379</v>
      </c>
      <c r="C5">
        <v>1255463</v>
      </c>
    </row>
    <row r="6" spans="1:3" x14ac:dyDescent="0.3">
      <c r="A6" t="s">
        <v>71</v>
      </c>
      <c r="B6">
        <v>219670</v>
      </c>
      <c r="C6">
        <v>255615</v>
      </c>
    </row>
    <row r="7" spans="1:3" x14ac:dyDescent="0.3">
      <c r="A7" t="s">
        <v>174</v>
      </c>
      <c r="B7">
        <v>73.436458570639644</v>
      </c>
      <c r="C7">
        <v>71.249596965598769</v>
      </c>
    </row>
    <row r="8" spans="1:3" x14ac:dyDescent="0.3">
      <c r="A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TSN1</vt:lpstr>
      <vt:lpstr>TSN2</vt:lpstr>
      <vt:lpstr>TSN3</vt:lpstr>
      <vt:lpstr>TSN4</vt:lpstr>
      <vt:lpstr>TSN5</vt:lpstr>
      <vt:lpstr>TPS1</vt:lpstr>
      <vt:lpstr>TPS2</vt:lpstr>
      <vt:lpstr>TSJ1</vt:lpstr>
      <vt:lpstr>TSJ2</vt:lpstr>
      <vt:lpstr>TSJ3</vt:lpstr>
      <vt:lpstr>TSJ4</vt:lpstr>
      <vt:lpstr>TSJ5</vt:lpstr>
      <vt:lpstr>TSJ6</vt:lpstr>
      <vt:lpstr>TSJ7</vt:lpstr>
      <vt:lpstr>TSJ8</vt:lpstr>
      <vt:lpstr>TDH1</vt:lpstr>
      <vt:lpstr>TDH2</vt:lpstr>
      <vt:lpstr>TDH3</vt:lpstr>
      <vt:lpstr>TDH4</vt:lpstr>
      <vt:lpstr>TDH5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2025-12-20T10:12:29Z</dcterms:created>
  <dcterms:modified xsi:type="dcterms:W3CDTF">2025-12-20T11:49:46Z</dcterms:modified>
</cp:coreProperties>
</file>